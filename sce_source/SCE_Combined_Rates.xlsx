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D (Domestic)" sheetId="2" state="visible" r:id="rId2"/>
    <sheet name="TOU-D-4" sheetId="3" state="visible" r:id="rId3"/>
    <sheet name="TOU-D-5" sheetId="4" state="visible" r:id="rId4"/>
    <sheet name="TOU-D-PRIME" sheetId="5" state="visible" r:id="rId5"/>
    <sheet name="Fixed_Charges" sheetId="6" state="visible" r:id="rId6"/>
    <sheet name="CCA_Summary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000"/>
    <numFmt numFmtId="165" formatCode="0.00000"/>
    <numFmt numFmtId="166" formatCode="$#,##0.00000;[Red]($#,##0.00000)"/>
    <numFmt numFmtId="167" formatCode="0.000000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CC6600"/>
      <sz val="10"/>
    </font>
    <font>
      <name val="Arial"/>
      <charset val="1"/>
      <family val="0"/>
      <i val="1"/>
      <color rgb="FF003366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666666"/>
      <sz val="9"/>
    </font>
    <font>
      <name val="Arial"/>
      <charset val="1"/>
      <family val="0"/>
      <i val="1"/>
      <color rgb="FF999999"/>
      <sz val="10"/>
    </font>
    <font>
      <name val="Arial"/>
      <charset val="1"/>
      <family val="0"/>
      <i val="1"/>
      <color rgb="FFCC0000"/>
      <sz val="9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sz val="10"/>
    </font>
    <font>
      <name val="Arial"/>
      <charset val="1"/>
      <family val="0"/>
      <color rgb="FF666666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CC0000"/>
      <sz val="10"/>
    </font>
    <font>
      <name val="Arial"/>
      <charset val="1"/>
      <family val="0"/>
      <color rgb="FF007700"/>
      <sz val="9"/>
    </font>
  </fonts>
  <fills count="19">
    <fill>
      <patternFill/>
    </fill>
    <fill>
      <patternFill patternType="gray125"/>
    </fill>
    <fill>
      <patternFill patternType="solid">
        <fgColor rgb="FF1F3864"/>
        <bgColor rgb="FF003366"/>
      </patternFill>
    </fill>
    <fill>
      <patternFill patternType="solid">
        <fgColor rgb="FFF2F2F2"/>
        <bgColor rgb="FFEBF5E9"/>
      </patternFill>
    </fill>
    <fill>
      <patternFill patternType="solid">
        <fgColor rgb="FF2F4F8F"/>
        <bgColor rgb="FF1F3864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2F2F2"/>
      </patternFill>
    </fill>
    <fill>
      <patternFill patternType="solid">
        <fgColor rgb="FFD9D9D9"/>
        <bgColor rgb="FFD9D2E9"/>
      </patternFill>
    </fill>
    <fill>
      <patternFill patternType="solid">
        <fgColor rgb="FFBDD7EE"/>
        <bgColor rgb="FFD9D2E9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4B5"/>
      </patternFill>
    </fill>
    <fill>
      <patternFill patternType="solid">
        <fgColor rgb="FFFCE4D6"/>
        <bgColor rgb="FFFFE4B5"/>
      </patternFill>
    </fill>
    <fill>
      <patternFill patternType="solid">
        <fgColor rgb="FFE2EFDA"/>
        <bgColor rgb="FFEBF5E9"/>
      </patternFill>
    </fill>
    <fill>
      <patternFill patternType="solid">
        <fgColor rgb="FFD9D2E9"/>
        <bgColor rgb="FFD9D9D9"/>
      </patternFill>
    </fill>
    <fill>
      <patternFill patternType="solid">
        <fgColor rgb="FFFFE4B5"/>
        <bgColor rgb="FFFFEB9C"/>
      </patternFill>
    </fill>
    <fill>
      <patternFill patternType="solid">
        <fgColor rgb="FFDEEAF1"/>
        <bgColor rgb="FFE2EFDA"/>
      </patternFill>
    </fill>
    <fill>
      <patternFill patternType="solid">
        <fgColor rgb="FFEBF5E9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4472C4"/>
        <bgColor rgb="FF2F4F8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164" fontId="9" fillId="15" borderId="0" applyAlignment="1" pivotButton="0" quotePrefix="0" xfId="0">
      <alignment horizontal="right" vertical="center"/>
    </xf>
    <xf numFmtId="164" fontId="9" fillId="16" borderId="0" applyAlignment="1" pivotButton="0" quotePrefix="0" xfId="0">
      <alignment horizontal="right" vertical="center"/>
    </xf>
    <xf numFmtId="164" fontId="8" fillId="17" borderId="0" applyAlignment="1" pivotButton="0" quotePrefix="0" xfId="0">
      <alignment horizontal="right" vertical="center"/>
    </xf>
    <xf numFmtId="164" fontId="9" fillId="9" borderId="0" applyAlignment="1" pivotButton="0" quotePrefix="0" xfId="0">
      <alignment horizontal="right" vertical="center"/>
    </xf>
    <xf numFmtId="164" fontId="9" fillId="11" borderId="0" applyAlignment="1" pivotButton="0" quotePrefix="0" xfId="0">
      <alignment horizontal="right" vertical="center"/>
    </xf>
    <xf numFmtId="164" fontId="9" fillId="12" borderId="0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164" fontId="14" fillId="1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0" fontId="15" fillId="15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 wrapText="1"/>
    </xf>
    <xf numFmtId="164" fontId="18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 wrapText="1"/>
    </xf>
    <xf numFmtId="0" fontId="19" fillId="17" borderId="0" applyAlignment="1" pivotButton="0" quotePrefix="0" xfId="0">
      <alignment horizontal="left" vertical="center" wrapText="1"/>
    </xf>
    <xf numFmtId="0" fontId="20" fillId="3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right" vertical="center"/>
    </xf>
    <xf numFmtId="0" fontId="23" fillId="5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  <xf numFmtId="0" fontId="26" fillId="5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 wrapText="1"/>
    </xf>
    <xf numFmtId="0" fontId="19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164" fontId="9" fillId="15" borderId="0" applyAlignment="1" pivotButton="0" quotePrefix="0" xfId="0">
      <alignment horizontal="right" vertical="center"/>
    </xf>
    <xf numFmtId="164" fontId="9" fillId="16" borderId="0" applyAlignment="1" pivotButton="0" quotePrefix="0" xfId="0">
      <alignment horizontal="right" vertical="center"/>
    </xf>
    <xf numFmtId="164" fontId="8" fillId="17" borderId="0" applyAlignment="1" pivotButton="0" quotePrefix="0" xfId="0">
      <alignment horizontal="right" vertical="center"/>
    </xf>
    <xf numFmtId="164" fontId="9" fillId="9" borderId="0" applyAlignment="1" pivotButton="0" quotePrefix="0" xfId="0">
      <alignment horizontal="right" vertical="center"/>
    </xf>
    <xf numFmtId="164" fontId="9" fillId="11" borderId="0" applyAlignment="1" pivotButton="0" quotePrefix="0" xfId="0">
      <alignment horizontal="right" vertical="center"/>
    </xf>
    <xf numFmtId="164" fontId="9" fillId="12" borderId="0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164" fontId="14" fillId="10" borderId="0" applyAlignment="1" pivotButton="0" quotePrefix="0" xfId="0">
      <alignment horizontal="right" vertical="center"/>
    </xf>
    <xf numFmtId="0" fontId="15" fillId="15" borderId="0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 wrapText="1"/>
    </xf>
    <xf numFmtId="164" fontId="18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 wrapText="1"/>
    </xf>
    <xf numFmtId="0" fontId="19" fillId="17" borderId="0" applyAlignment="1" pivotButton="0" quotePrefix="0" xfId="0">
      <alignment horizontal="left" vertical="center" wrapText="1"/>
    </xf>
    <xf numFmtId="0" fontId="20" fillId="3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right" vertical="center"/>
    </xf>
    <xf numFmtId="0" fontId="23" fillId="5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  <xf numFmtId="0" fontId="26" fillId="5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 wrapText="1"/>
    </xf>
    <xf numFmtId="0" fontId="19" fillId="5" borderId="0" applyAlignment="1" pivotButton="0" quotePrefix="0" xfId="0">
      <alignment horizontal="left" vertical="center" wrapText="1"/>
    </xf>
    <xf numFmtId="165" fontId="14" fillId="10" borderId="0" applyAlignment="1" pivotButton="0" quotePrefix="0" xfId="0">
      <alignment horizontal="right" vertical="center"/>
    </xf>
    <xf numFmtId="165" fontId="18" fillId="3" borderId="0" applyAlignment="1" pivotButton="0" quotePrefix="0" xfId="0">
      <alignment horizontal="right" vertical="center"/>
    </xf>
    <xf numFmtId="166" fontId="25" fillId="0" borderId="0" applyAlignment="1" pivotButton="0" quotePrefix="0" xfId="0">
      <alignment horizontal="general" vertical="bottom"/>
    </xf>
    <xf numFmtId="167" fontId="9" fillId="5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2F2F2"/>
      <rgbColor rgb="FFFF00FF"/>
      <rgbColor rgb="FF00FFFF"/>
      <rgbColor rgb="FF800000"/>
      <rgbColor rgb="FF0077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9D2E9"/>
      <rgbColor rgb="FF000080"/>
      <rgbColor rgb="FFFF00FF"/>
      <rgbColor rgb="FFF8F8F8"/>
      <rgbColor rgb="FF00FFFF"/>
      <rgbColor rgb="FF800080"/>
      <rgbColor rgb="FF800000"/>
      <rgbColor rgb="FF008080"/>
      <rgbColor rgb="FF0000FF"/>
      <rgbColor rgb="FF00CCFF"/>
      <rgbColor rgb="FFEBF5E9"/>
      <rgbColor rgb="FFC6EFCE"/>
      <rgbColor rgb="FFFFEB9C"/>
      <rgbColor rgb="FFBDD7EE"/>
      <rgbColor rgb="FFFCE4D6"/>
      <rgbColor rgb="FFE2EFDA"/>
      <rgbColor rgb="FFFFE4B5"/>
      <rgbColor rgb="FF4472C4"/>
      <rgbColor rgb="FF33CCCC"/>
      <rgbColor rgb="FF99CC00"/>
      <rgbColor rgb="FFFFCC00"/>
      <rgbColor rgb="FFFF9900"/>
      <rgbColor rgb="FFCC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4F8F"/>
      <rgbColor rgb="FF1F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73" min="1" max="1"/>
    <col width="22" customWidth="1" style="73" min="2" max="3"/>
    <col width="12" customWidth="1" style="73" min="4" max="13"/>
  </cols>
  <sheetData>
    <row r="1" ht="27.75" customHeight="1" s="74">
      <c r="A1" s="75" t="inlineStr">
        <is>
          <t>SCE Combined Rate Data — Delivery + Generation</t>
        </is>
      </c>
    </row>
    <row r="2" ht="18" customHeight="1" s="74">
      <c r="A2" s="76" t="inlineStr">
        <is>
          <t>Southern California Edison (SCE) • All rates in $/kWh unless noted</t>
        </is>
      </c>
    </row>
    <row r="4" ht="15.75" customHeight="1" s="74">
      <c r="A4" s="77" t="inlineStr">
        <is>
          <t>SOURCES &amp; EFFECTIVE DATES</t>
        </is>
      </c>
    </row>
    <row r="5" ht="15" customHeight="1" s="74">
      <c r="A5" s="78" t="inlineStr">
        <is>
          <t>Provider</t>
        </is>
      </c>
      <c r="B5" s="78" t="inlineStr">
        <is>
          <t>Effective Date</t>
        </is>
      </c>
      <c r="C5" s="78" t="inlineStr">
        <is>
          <t>Advice Letter / Ref</t>
        </is>
      </c>
      <c r="D5" s="78" t="inlineStr">
        <is>
          <t>Source File</t>
        </is>
      </c>
    </row>
    <row r="6" ht="15" customHeight="1" s="74">
      <c r="A6" s="79" t="inlineStr">
        <is>
          <t>SCE Schedule D (Domestic)</t>
        </is>
      </c>
      <c r="B6" s="80" t="inlineStr">
        <is>
          <t>Jan 1, 2026</t>
        </is>
      </c>
      <c r="C6" s="79" t="inlineStr">
        <is>
          <t>Advice 5725-E (rates); base tariff Advice 5654-E</t>
        </is>
      </c>
      <c r="D6" s="79" t="inlineStr">
        <is>
          <t>ELECTRIC_SCHEDULES_D.pdf</t>
        </is>
      </c>
    </row>
    <row r="7" ht="23.85" customHeight="1" s="74">
      <c r="A7" s="81" t="inlineStr">
        <is>
          <t>SCE Schedule TOU-D (Options 4-9 PM, 5-8 PM, PRIME)</t>
        </is>
      </c>
      <c r="B7" s="82" t="inlineStr">
        <is>
          <t>Jan 1, 2026</t>
        </is>
      </c>
      <c r="C7" s="81" t="inlineStr">
        <is>
          <t>Advice 5725-E (rates); base tariff Advice 5338-E</t>
        </is>
      </c>
      <c r="D7" s="81" t="inlineStr">
        <is>
          <t>ELECTRIC_SCHEDULES_TOU-D.pdf</t>
        </is>
      </c>
    </row>
    <row r="8" ht="23.85" customHeight="1" s="74">
      <c r="A8" s="79" t="inlineStr">
        <is>
          <t>3CE (Central Coast Community Energy) — SCE Territory</t>
        </is>
      </c>
      <c r="B8" s="80" t="inlineStr">
        <is>
          <t>Apr 1, 2025</t>
        </is>
      </c>
      <c r="C8" s="79" t="inlineStr">
        <is>
          <t>—</t>
        </is>
      </c>
      <c r="D8" s="79" t="inlineStr">
        <is>
          <t>Residential-SCE-Website-Rate-Sheet-v2-2025.04.01.pdf</t>
        </is>
      </c>
    </row>
    <row r="9" ht="15" customHeight="1" s="74">
      <c r="A9" s="81" t="inlineStr">
        <is>
          <t>Desert Community Energy (DCE)</t>
        </is>
      </c>
      <c r="B9" s="82" t="inlineStr">
        <is>
          <t>Jan 1, 2026</t>
        </is>
      </c>
      <c r="C9" s="81" t="inlineStr">
        <is>
          <t>—</t>
        </is>
      </c>
      <c r="D9" s="81" t="inlineStr">
        <is>
          <t>DCE-Rate-Schedule-for-Website-010126-RES.xlsx</t>
        </is>
      </c>
    </row>
    <row r="10" ht="15" customHeight="1" s="74">
      <c r="A10" s="79" t="inlineStr">
        <is>
          <t>Apple Valley Choice Energy (AVCE)</t>
        </is>
      </c>
      <c r="B10" s="80" t="inlineStr">
        <is>
          <t>Apr 1, 2025</t>
        </is>
      </c>
      <c r="C10" s="79" t="inlineStr">
        <is>
          <t>—</t>
        </is>
      </c>
      <c r="D10" s="79" t="inlineStr">
        <is>
          <t>AVCE-Rates-Effective-April-1-2025_WEB-POSTING.pdf</t>
        </is>
      </c>
    </row>
    <row r="11" ht="15" customHeight="1" s="74">
      <c r="A11" s="81" t="inlineStr">
        <is>
          <t>Orange County Power Authority (OCPA)</t>
        </is>
      </c>
      <c r="B11" s="82" t="inlineStr">
        <is>
          <t>Oct 20, 2025</t>
        </is>
      </c>
      <c r="C11" s="81" t="inlineStr">
        <is>
          <t>—</t>
        </is>
      </c>
      <c r="D11" s="81" t="inlineStr">
        <is>
          <t>OCPA-Rates-Schedule-Website-rates_2025Oct-Update_Residential.pdf</t>
        </is>
      </c>
    </row>
    <row r="12" ht="23.85" customHeight="1" s="74">
      <c r="A12" s="79" t="inlineStr">
        <is>
          <t>Pico Rivera Innovative Municipal Energy (PRIME) — BLENDED AVERAGES ONLY</t>
        </is>
      </c>
      <c r="B12" s="80" t="inlineStr">
        <is>
          <t>Per SCE PRIME joint rate HTML</t>
        </is>
      </c>
      <c r="C12" s="79" t="inlineStr">
        <is>
          <t>—</t>
        </is>
      </c>
      <c r="D12" s="79" t="inlineStr">
        <is>
          <t>SCE PRIME Joint Rate Comparisons.html</t>
        </is>
      </c>
    </row>
    <row r="13">
      <c r="A13" s="81" t="inlineStr">
        <is>
          <t>Clean Power Alliance (CPA) — Real per-period rates</t>
        </is>
      </c>
      <c r="B13" s="82" t="inlineStr">
        <is>
          <t>Mar 1, 2025</t>
        </is>
      </c>
      <c r="C13" s="81" t="inlineStr">
        <is>
          <t>—</t>
        </is>
      </c>
      <c r="D13" s="81" t="inlineStr">
        <is>
          <t>Residential-Rates-as-of-March-2025-for-communities-enrolled-in-2019-2020.pdf</t>
        </is>
      </c>
    </row>
    <row r="15" ht="15.75" customHeight="1" s="74"/>
    <row r="16" ht="15" customHeight="1" s="74">
      <c r="A16" s="77" t="inlineStr">
        <is>
          <t>RATE PLANS COVERED</t>
        </is>
      </c>
    </row>
    <row r="17" ht="15" customHeight="1" s="74">
      <c r="A17" s="78" t="inlineStr">
        <is>
          <t>Rate Plan</t>
        </is>
      </c>
      <c r="B17" s="78" t="inlineStr">
        <is>
          <t>TOU Period Definition</t>
        </is>
      </c>
    </row>
    <row r="18" ht="15" customHeight="1" s="74">
      <c r="A18" s="83" t="inlineStr">
        <is>
          <t>D (Domestic)</t>
        </is>
      </c>
      <c r="B18" s="79" t="inlineStr">
        <is>
          <t>Flat tiered rate. Baseline / Over-Baseline usage tiers. No TOU.</t>
        </is>
      </c>
      <c r="L18" s="80" t="inlineStr">
        <is>
          <t>Sheet: D</t>
        </is>
      </c>
    </row>
    <row r="19" ht="15" customHeight="1" s="74">
      <c r="A19" s="84" t="inlineStr">
        <is>
          <t>TOU-D-4 (Option 4-9 PM)</t>
        </is>
      </c>
      <c r="B19" s="81" t="inlineStr">
        <is>
          <t>Summer: On-Peak (4–9pm M–F), Mid-Peak (4–9pm wknd/hol), Off-Peak. Winter: Mid-Peak (4–9pm), Super-Off-Peak (8am–4pm), Off-Peak. Season: Jun–Sep / Oct–May.</t>
        </is>
      </c>
      <c r="L19" s="82" t="inlineStr">
        <is>
          <t>Sheet: TOU-D-4</t>
        </is>
      </c>
    </row>
    <row r="20" ht="23.85" customHeight="1" s="74">
      <c r="A20" s="83" t="inlineStr">
        <is>
          <t>TOU-D-5 (Option 5-8 PM)</t>
        </is>
      </c>
      <c r="B20" s="79" t="inlineStr">
        <is>
          <t>Summer: On-Peak (5–8pm M–F), Mid-Peak (5–8pm wknd/hol), Off-Peak. Winter: Mid-Peak (5–8pm), Super-Off-Peak (8am–5pm), Off-Peak.</t>
        </is>
      </c>
      <c r="L20" s="80" t="inlineStr">
        <is>
          <t>Sheet: TOU-D-5</t>
        </is>
      </c>
    </row>
    <row r="21">
      <c r="A21" s="84" t="inlineStr">
        <is>
          <t>TOU-D-PRIME</t>
        </is>
      </c>
      <c r="B21" s="81" t="inlineStr">
        <is>
          <t>EV plan. Summer: On-Peak (4–9pm M–F), Mid-Peak (4–9pm wknd/hol), Off-Peak. Winter: Mid-Peak (4–9pm), Super-Off-Peak (8am–4pm), Off-Peak. No baseline credit. $0.794/day BSC.</t>
        </is>
      </c>
      <c r="L21" s="82" t="inlineStr">
        <is>
          <t>Sheet: TOU-D-PRIME</t>
        </is>
      </c>
    </row>
    <row r="22" ht="15" customHeight="1" s="74"/>
    <row r="23" ht="15" customHeight="1" s="74">
      <c r="A23" s="77" t="inlineStr">
        <is>
          <t>COLUMN SCHEMA — Aligns with ratePlans.json v2.0</t>
        </is>
      </c>
    </row>
    <row r="24" ht="15" customHeight="1" s="74">
      <c r="A24" s="78" t="inlineStr">
        <is>
          <t>Field</t>
        </is>
      </c>
      <c r="B24" s="78" t="inlineStr">
        <is>
          <t>Description</t>
        </is>
      </c>
    </row>
    <row r="25" ht="15" customHeight="1" s="74">
      <c r="A25" s="83" t="inlineStr">
        <is>
          <t>sceDelivery</t>
        </is>
      </c>
      <c r="B25" s="79" t="inlineStr">
        <is>
          <t>SCE Delivery rate (Total Delivery Service from tariff). Applicable to ALL customers (bundled + CCA).</t>
        </is>
      </c>
    </row>
    <row r="26" ht="15" customHeight="1" s="74">
      <c r="A26" s="84" t="inlineStr">
        <is>
          <t>sceGeneration</t>
        </is>
      </c>
      <c r="B26" s="81" t="inlineStr">
        <is>
          <t>SCE Generation rate (UG component). Applicable to SCE-BUNDLED customers only.</t>
        </is>
      </c>
    </row>
    <row r="27" ht="15" customHeight="1" s="74">
      <c r="A27" s="83" t="inlineStr">
        <is>
          <t>sceTotalBundled</t>
        </is>
      </c>
      <c r="B27" s="79" t="inlineStr">
        <is>
          <t>sceDelivery + sceGeneration. For bundled SCE customers (formula column).</t>
        </is>
      </c>
    </row>
    <row r="28" ht="15" customHeight="1" s="74">
      <c r="A28" s="84" t="inlineStr">
        <is>
          <t>3CE_3Cchoice / 3CE_3Cprime</t>
        </is>
      </c>
      <c r="B28" s="81" t="inlineStr">
        <is>
          <t>CCA Generation rates for 3CE tiers. Central Coast (Santa Barbara area).</t>
        </is>
      </c>
    </row>
    <row r="29" ht="15" customHeight="1" s="74">
      <c r="A29" s="83" t="inlineStr">
        <is>
          <t>DCE_DesertSaver / DCE_CarbonFree</t>
        </is>
      </c>
      <c r="B29" s="79" t="inlineStr">
        <is>
          <t>CCA Generation rates for DCE tiers. Desert communities.</t>
        </is>
      </c>
    </row>
    <row r="30" ht="15" customHeight="1" s="74">
      <c r="A30" s="84" t="inlineStr">
        <is>
          <t>AVCE</t>
        </is>
      </c>
      <c r="B30" s="81" t="inlineStr">
        <is>
          <t>Apple Valley Choice Energy — single generation rate tier.</t>
        </is>
      </c>
    </row>
    <row r="31" ht="15" customHeight="1" s="74">
      <c r="A31" s="83" t="inlineStr">
        <is>
          <t>OCPA_Basic / OCPA_Smart / OCPA_100pct</t>
        </is>
      </c>
      <c r="B31" s="79" t="inlineStr">
        <is>
          <t>Orange County Power Authority — three tiers.</t>
        </is>
      </c>
    </row>
    <row r="32" ht="15" customHeight="1" s="74">
      <c r="A32" s="84" t="inlineStr">
        <is>
          <t>PRIME_Power / PRIME_Future</t>
        </is>
      </c>
      <c r="B32" s="85" t="inlineStr">
        <is>
          <t>⚠ BLENDED AVERAGES ONLY (not per-period). Pico Rivera Innovative Municipal Energy (PRIME) — serves Pico Rivera, CA only.</t>
        </is>
      </c>
    </row>
    <row r="33" ht="15" customHeight="1" s="74">
      <c r="A33" s="84" t="inlineStr">
        <is>
          <t>CPA_Lean / CPA_Clean / CPA_100pctGreen</t>
        </is>
      </c>
      <c r="B33" s="85" t="inlineStr">
        <is>
          <t>Clean Power Alliance — three tiers (Lean Power, Clean Power, 100% Green Power). Per-period TOU rates available. LA/Ventura County area.</t>
        </is>
      </c>
    </row>
    <row r="34">
      <c r="A34" s="83" t="inlineStr">
        <is>
          <t>FRC / MCAM</t>
        </is>
      </c>
      <c r="B34" s="79" t="inlineStr">
        <is>
          <t>Fixed Recovery Charge ($0.00619) + MCAM ($0.00223) — flat per-kWh adders on Fixed_Charges sheet.</t>
        </is>
      </c>
    </row>
    <row r="35">
      <c r="A35" s="84" t="inlineStr">
        <is>
          <t>sceDelivery + CCA_gen</t>
        </is>
      </c>
      <c r="B35" s="81" t="inlineStr">
        <is>
          <t>Total for CCA customer = sceDelivery + [chosen CCA gen] + FRC + MCAM</t>
        </is>
      </c>
    </row>
  </sheetData>
  <mergeCells count="33">
    <mergeCell ref="L17:M17"/>
    <mergeCell ref="B16:L16"/>
    <mergeCell ref="D12:M12"/>
    <mergeCell ref="D9:M9"/>
    <mergeCell ref="A22:M22"/>
    <mergeCell ref="B23:M23"/>
    <mergeCell ref="A4:M4"/>
    <mergeCell ref="D8:M8"/>
    <mergeCell ref="L19:M19"/>
    <mergeCell ref="B20:K20"/>
    <mergeCell ref="B29:M29"/>
    <mergeCell ref="D5:M5"/>
    <mergeCell ref="B28:M28"/>
    <mergeCell ref="L18:M18"/>
    <mergeCell ref="A15:M15"/>
    <mergeCell ref="D10:M10"/>
    <mergeCell ref="B30:M30"/>
    <mergeCell ref="B24:M24"/>
    <mergeCell ref="B33:M33"/>
    <mergeCell ref="A1:M1"/>
    <mergeCell ref="L20:M20"/>
    <mergeCell ref="B18:K18"/>
    <mergeCell ref="B32:M32"/>
    <mergeCell ref="D6:M6"/>
    <mergeCell ref="B26:M26"/>
    <mergeCell ref="D11:M11"/>
    <mergeCell ref="B25:M25"/>
    <mergeCell ref="B17:K17"/>
    <mergeCell ref="B31:M31"/>
    <mergeCell ref="D7:M7"/>
    <mergeCell ref="B27:M27"/>
    <mergeCell ref="A2:M2"/>
    <mergeCell ref="B19:K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5" customWidth="1" style="73" min="1" max="1"/>
    <col width="10" customWidth="1" style="73" min="2" max="2"/>
    <col width="14" customWidth="1" style="73" min="3" max="5"/>
    <col width="12" customWidth="1" style="73" min="6" max="15"/>
    <col width="18" customWidth="1" style="73" min="16" max="16"/>
  </cols>
  <sheetData>
    <row r="1" ht="25.5" customHeight="1" s="74">
      <c r="A1" s="86" t="inlineStr">
        <is>
          <t>SCE Schedule D (Domestic) — Delivery + Generation Rates ($/kWh)</t>
        </is>
      </c>
    </row>
    <row r="2" ht="15.75" customHeight="1" s="74">
      <c r="A2" s="87" t="inlineStr">
        <is>
          <t>Flat tiered rate (no TOU). Season: Year-round.  |  Source: Advice 5725-E (eff. Jan 1, 2026) / Advice 5338-E</t>
        </is>
      </c>
    </row>
    <row r="3" ht="21.75" customHeight="1" s="74">
      <c r="A3" s="88" t="inlineStr">
        <is>
          <t>Tier</t>
        </is>
      </c>
      <c r="C3" s="89" t="inlineStr">
        <is>
          <t>SCE Delivery
(All Customers)</t>
        </is>
      </c>
      <c r="D3" s="90" t="inlineStr">
        <is>
          <t>SCE Generation
(Bundled Only)</t>
        </is>
      </c>
      <c r="E3" s="91" t="inlineStr">
        <is>
          <t>SCE Total Bundled</t>
        </is>
      </c>
      <c r="F3" s="90" t="inlineStr">
        <is>
          <t>3CE
(CCA Generation)</t>
        </is>
      </c>
      <c r="H3" s="92" t="inlineStr">
        <is>
          <t>DCE
(CCA Generation)</t>
        </is>
      </c>
      <c r="J3" s="93" t="inlineStr">
        <is>
          <t>AVCE
(CCA Generation)</t>
        </is>
      </c>
      <c r="K3" s="94" t="inlineStr">
        <is>
          <t>OCPA
(CCA Generation)</t>
        </is>
      </c>
      <c r="N3" s="95" t="inlineStr">
        <is>
          <t>PRIME
(CCA Generation)</t>
        </is>
      </c>
      <c r="P3" s="95" t="inlineStr">
        <is>
          <t>CPA (Clean Power Alliance)
(CCA Generation)</t>
        </is>
      </c>
      <c r="S3" s="88" t="inlineStr">
        <is>
          <t>Notes</t>
        </is>
      </c>
    </row>
    <row r="4" ht="33.75" customHeight="1" s="74">
      <c r="A4" s="88" t="inlineStr">
        <is>
          <t>Tier</t>
        </is>
      </c>
      <c r="C4" s="89" t="inlineStr">
        <is>
          <t>Delivery
Total ($/kWh)</t>
        </is>
      </c>
      <c r="D4" s="90" t="inlineStr">
        <is>
          <t>SCE Gen
($/kWh)</t>
        </is>
      </c>
      <c r="E4" s="91" t="inlineStr">
        <is>
          <t>SCE Bundled
($/kWh)</t>
        </is>
      </c>
      <c r="F4" s="90" t="inlineStr">
        <is>
          <t>3Cchoice
($/kWh)</t>
        </is>
      </c>
      <c r="G4" s="90" t="inlineStr">
        <is>
          <t>3Cprime
($/kWh)</t>
        </is>
      </c>
      <c r="H4" s="92" t="inlineStr">
        <is>
          <t>Desert Saver
($/kWh)</t>
        </is>
      </c>
      <c r="I4" s="92" t="inlineStr">
        <is>
          <t>Carbon Free
($/kWh)</t>
        </is>
      </c>
      <c r="J4" s="93" t="inlineStr">
        <is>
          <t>Standard
($/kWh)</t>
        </is>
      </c>
      <c r="K4" s="94" t="inlineStr">
        <is>
          <t>Basic Choice
($/kWh)</t>
        </is>
      </c>
      <c r="L4" s="94" t="inlineStr">
        <is>
          <t>Smart Choice
($/kWh)</t>
        </is>
      </c>
      <c r="M4" s="94" t="inlineStr">
        <is>
          <t>100% Renew.
($/kWh)</t>
        </is>
      </c>
      <c r="N4" s="95" t="inlineStr">
        <is>
          <t>PRIME Power
($/kWh)</t>
        </is>
      </c>
      <c r="O4" s="95" t="inlineStr">
        <is>
          <t>PRIME Future
($/kWh)</t>
        </is>
      </c>
      <c r="P4" s="95" t="inlineStr">
        <is>
          <t>Lean Power
($/kWh)</t>
        </is>
      </c>
      <c r="Q4" s="95" t="inlineStr">
        <is>
          <t>Clean Power
($/kWh)</t>
        </is>
      </c>
      <c r="R4" s="95" t="inlineStr">
        <is>
          <t>100% Green Pwr
($/kWh)</t>
        </is>
      </c>
    </row>
    <row r="5" ht="30" customHeight="1" s="74">
      <c r="A5" s="84" t="inlineStr">
        <is>
          <t>Baseline
(0–100% of monthly baseline alloc.)</t>
        </is>
      </c>
      <c r="C5" s="96" t="n">
        <v>0.18482</v>
      </c>
      <c r="D5" s="97" t="n">
        <v>0.11761</v>
      </c>
      <c r="E5" s="98">
        <f>C5+D5</f>
        <v/>
      </c>
      <c r="F5" s="99" t="n">
        <v>0.12246</v>
      </c>
      <c r="G5" s="99" t="n">
        <v>0.13046</v>
      </c>
      <c r="H5" s="100" t="n">
        <v>0.09379</v>
      </c>
      <c r="I5" s="100" t="n">
        <v>0.17486</v>
      </c>
      <c r="J5" s="101" t="n">
        <v>0.12298</v>
      </c>
      <c r="K5" s="102" t="n">
        <v>0.13983</v>
      </c>
      <c r="L5" s="102" t="n">
        <v>0.14983</v>
      </c>
      <c r="M5" s="102" t="n">
        <v>0.15483</v>
      </c>
      <c r="N5" s="103" t="n">
        <v>0.15906</v>
      </c>
      <c r="O5" s="103" t="n">
        <v>0.16906</v>
      </c>
      <c r="P5" s="134" t="n">
        <v>0.12318</v>
      </c>
      <c r="Q5" s="134" t="n">
        <v>0.12675</v>
      </c>
      <c r="R5" s="134" t="n">
        <v>0.14459</v>
      </c>
    </row>
    <row r="6" ht="30" customHeight="1" s="74">
      <c r="A6" s="83" t="inlineStr">
        <is>
          <t>Over-Baseline
(&gt; 100% of baseline alloc.)</t>
        </is>
      </c>
      <c r="C6" s="96" t="n">
        <v>0.2859</v>
      </c>
      <c r="D6" s="97" t="n">
        <v>0.11761</v>
      </c>
      <c r="E6" s="98">
        <f>C6+D6</f>
        <v/>
      </c>
      <c r="F6" s="99" t="n">
        <v>0.12246</v>
      </c>
      <c r="G6" s="99" t="n">
        <v>0.13046</v>
      </c>
      <c r="H6" s="100" t="n">
        <v>0.09379</v>
      </c>
      <c r="I6" s="100" t="n">
        <v>0.17486</v>
      </c>
      <c r="J6" s="101" t="n">
        <v>0.12298</v>
      </c>
      <c r="K6" s="102" t="n">
        <v>0.13983</v>
      </c>
      <c r="L6" s="102" t="n">
        <v>0.14983</v>
      </c>
      <c r="M6" s="102" t="n">
        <v>0.15483</v>
      </c>
      <c r="N6" s="103" t="n">
        <v>0.15906</v>
      </c>
      <c r="O6" s="103" t="n">
        <v>0.16906</v>
      </c>
      <c r="P6" s="134" t="n">
        <v>0.12318</v>
      </c>
      <c r="Q6" s="134" t="n">
        <v>0.12675</v>
      </c>
      <c r="R6" s="134" t="n">
        <v>0.14459</v>
      </c>
    </row>
    <row r="8" ht="24" customHeight="1" s="74">
      <c r="A8" s="104" t="inlineStr">
        <is>
          <t>Additional charges (apply to ALL customers): Fixed Recovery Charge (FRC): +$0.00619/kWh  |  MCAM: +$0.00223/kWh  |  BSC: $0.794/meter/day  |  ⚠ PRIME rates are blended averages, not per-period.</t>
        </is>
      </c>
    </row>
  </sheetData>
  <mergeCells count="13">
    <mergeCell ref="F3:G3"/>
    <mergeCell ref="A4:B4"/>
    <mergeCell ref="P3:R3"/>
    <mergeCell ref="N3:O3"/>
    <mergeCell ref="A8:S8"/>
    <mergeCell ref="A1:S1"/>
    <mergeCell ref="A5:B5"/>
    <mergeCell ref="S3:S4"/>
    <mergeCell ref="K3:M3"/>
    <mergeCell ref="A6:B6"/>
    <mergeCell ref="A3:B3"/>
    <mergeCell ref="A2:S2"/>
    <mergeCell ref="H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73" min="1" max="1"/>
    <col width="22" customWidth="1" style="73" min="2" max="2"/>
    <col width="28" customWidth="1" style="73" min="3" max="3"/>
    <col width="13" customWidth="1" style="73" min="4" max="6"/>
    <col width="11" customWidth="1" style="73" min="7" max="16"/>
    <col width="18" customWidth="1" style="73" min="17" max="17"/>
  </cols>
  <sheetData>
    <row r="1" ht="25.5" customHeight="1" s="74">
      <c r="A1" s="86" t="inlineStr">
        <is>
          <t>SCE TOU-D-4 (Option 4-9 PM) — Delivery + Generation Rates ($/kWh)</t>
        </is>
      </c>
    </row>
    <row r="2" ht="15.75" customHeight="1" s="74">
      <c r="A2" s="87" t="inlineStr">
        <is>
          <t>Season: Summer: June–September  |  Winter: October–May  |  Rates from tariff PDFs + CCA rate sheets</t>
        </is>
      </c>
    </row>
    <row r="3" ht="21.75" customHeight="1" s="74">
      <c r="A3" s="88" t="inlineStr">
        <is>
          <t>Period</t>
        </is>
      </c>
      <c r="D3" s="89" t="inlineStr">
        <is>
          <t>SCE Delivery
(All Customers)</t>
        </is>
      </c>
      <c r="E3" s="90" t="inlineStr">
        <is>
          <t>SCE Generation
(Bundled Only)</t>
        </is>
      </c>
      <c r="F3" s="91" t="inlineStr">
        <is>
          <t>SCE Total Bundled
(Delivery + Gen)</t>
        </is>
      </c>
      <c r="G3" s="90" t="inlineStr">
        <is>
          <t>3CE
(CCA Generation)</t>
        </is>
      </c>
      <c r="I3" s="92" t="inlineStr">
        <is>
          <t>DCE
(CCA Generation)</t>
        </is>
      </c>
      <c r="K3" s="93" t="inlineStr">
        <is>
          <t>AVCE
(CCA Generation)</t>
        </is>
      </c>
      <c r="L3" s="94" t="inlineStr">
        <is>
          <t>OCPA
(CCA Generation)</t>
        </is>
      </c>
      <c r="O3" s="95" t="inlineStr">
        <is>
          <t>PRIME ⚠Avg
(CCA Generation)</t>
        </is>
      </c>
      <c r="Q3" s="95" t="inlineStr">
        <is>
          <t>CPA (Clean Power Alliance)
(CCA Generation)</t>
        </is>
      </c>
      <c r="T3" s="88" t="inlineStr">
        <is>
          <t>Notes</t>
        </is>
      </c>
    </row>
    <row r="4" ht="33.75" customHeight="1" s="74">
      <c r="A4" s="88" t="inlineStr">
        <is>
          <t>Season</t>
        </is>
      </c>
      <c r="B4" s="88" t="inlineStr">
        <is>
          <t>Period</t>
        </is>
      </c>
      <c r="C4" s="88" t="inlineStr">
        <is>
          <t>Time Window</t>
        </is>
      </c>
      <c r="D4" s="89" t="inlineStr">
        <is>
          <t>Delivery
Total ($/kWh)</t>
        </is>
      </c>
      <c r="E4" s="90" t="inlineStr">
        <is>
          <t>SCE Gen
(Bundled $/kWh)</t>
        </is>
      </c>
      <c r="F4" s="91" t="inlineStr">
        <is>
          <t>SCE Total
Bundled ($/kWh)</t>
        </is>
      </c>
      <c r="G4" s="90" t="inlineStr">
        <is>
          <t>3Cchoice
($/kWh)</t>
        </is>
      </c>
      <c r="H4" s="90" t="inlineStr">
        <is>
          <t>3Cprime
($/kWh)</t>
        </is>
      </c>
      <c r="I4" s="92" t="inlineStr">
        <is>
          <t>Desert Saver
($/kWh)</t>
        </is>
      </c>
      <c r="J4" s="92" t="inlineStr">
        <is>
          <t>Carbon Free
($/kWh)</t>
        </is>
      </c>
      <c r="K4" s="93" t="inlineStr">
        <is>
          <t>Standard
($/kWh)</t>
        </is>
      </c>
      <c r="L4" s="94" t="inlineStr">
        <is>
          <t>Basic Choice
($/kWh)</t>
        </is>
      </c>
      <c r="M4" s="94" t="inlineStr">
        <is>
          <t>Smart Choice
($/kWh)</t>
        </is>
      </c>
      <c r="N4" s="94" t="inlineStr">
        <is>
          <t>100% Renew.
($/kWh)</t>
        </is>
      </c>
      <c r="O4" s="95" t="inlineStr">
        <is>
          <t>PRIME Power
($/kWh)</t>
        </is>
      </c>
      <c r="P4" s="95" t="inlineStr">
        <is>
          <t>PRIME Future
($/kWh)</t>
        </is>
      </c>
      <c r="Q4" s="95" t="inlineStr">
        <is>
          <t>Lean Power
($/kWh)</t>
        </is>
      </c>
      <c r="R4" s="95" t="inlineStr">
        <is>
          <t>Clean Power
($/kWh)</t>
        </is>
      </c>
      <c r="S4" s="95" t="inlineStr">
        <is>
          <t>100% Green Pwr
($/kWh)</t>
        </is>
      </c>
    </row>
    <row r="5" ht="18" customHeight="1" s="74">
      <c r="A5" s="105" t="inlineStr">
        <is>
          <t>— Summer Season —</t>
        </is>
      </c>
    </row>
    <row r="6" ht="18" customHeight="1" s="74">
      <c r="A6" s="106" t="inlineStr">
        <is>
          <t>Summer</t>
        </is>
      </c>
      <c r="B6" s="107" t="inlineStr">
        <is>
          <t>On-Peak</t>
        </is>
      </c>
      <c r="C6" s="108" t="inlineStr">
        <is>
          <t>4:00 PM – 9:00 PM, Mon–Fri (excl. holidays)</t>
        </is>
      </c>
      <c r="D6" s="96" t="n">
        <v>0.33082</v>
      </c>
      <c r="E6" s="97" t="n">
        <v>0.25448</v>
      </c>
      <c r="F6" s="98">
        <f>D6+E6</f>
        <v/>
      </c>
      <c r="G6" s="99" t="n">
        <v>0.26696</v>
      </c>
      <c r="H6" s="99" t="n">
        <v>0.27496</v>
      </c>
      <c r="I6" s="100" t="n">
        <v>0.22802</v>
      </c>
      <c r="J6" s="100" t="n">
        <v>0.38184</v>
      </c>
      <c r="K6" s="101" t="n">
        <v>0.25304</v>
      </c>
      <c r="L6" s="102" t="n">
        <v>0.27772</v>
      </c>
      <c r="M6" s="102" t="n">
        <v>0.28772</v>
      </c>
      <c r="N6" s="102" t="n">
        <v>0.29272</v>
      </c>
      <c r="O6" s="109" t="inlineStr">
        <is>
          <t>N/A</t>
        </is>
      </c>
      <c r="P6" s="109" t="inlineStr">
        <is>
          <t>N/A</t>
        </is>
      </c>
      <c r="Q6" s="135" t="n">
        <v>0.25324</v>
      </c>
      <c r="R6" s="135" t="n">
        <v>0.26106</v>
      </c>
      <c r="S6" s="135" t="n">
        <v>0.30016</v>
      </c>
    </row>
    <row r="7" ht="18" customHeight="1" s="74">
      <c r="A7" s="110" t="inlineStr">
        <is>
          <t>Summer</t>
        </is>
      </c>
      <c r="B7" s="111" t="inlineStr">
        <is>
          <t>Mid-Peak</t>
        </is>
      </c>
      <c r="C7" s="112" t="inlineStr">
        <is>
          <t>4:00 PM – 9:00 PM, Sat/Sun &amp; holidays</t>
        </is>
      </c>
      <c r="D7" s="96" t="n">
        <v>0.33082</v>
      </c>
      <c r="E7" s="97" t="n">
        <v>0.13441</v>
      </c>
      <c r="F7" s="98">
        <f>D7+E7</f>
        <v/>
      </c>
      <c r="G7" s="99" t="n">
        <v>0.14246</v>
      </c>
      <c r="H7" s="99" t="n">
        <v>0.15046</v>
      </c>
      <c r="I7" s="100" t="n">
        <v>0.11027</v>
      </c>
      <c r="J7" s="100" t="n">
        <v>0.20244</v>
      </c>
      <c r="K7" s="101" t="n">
        <v>0.14093</v>
      </c>
      <c r="L7" s="102" t="n">
        <v>0.15845</v>
      </c>
      <c r="M7" s="102" t="n">
        <v>0.16845</v>
      </c>
      <c r="N7" s="102" t="n">
        <v>0.17345</v>
      </c>
      <c r="O7" s="109" t="inlineStr">
        <is>
          <t>N/A</t>
        </is>
      </c>
      <c r="P7" s="109" t="inlineStr">
        <is>
          <t>N/A</t>
        </is>
      </c>
      <c r="Q7" s="135" t="n">
        <v>0.14113</v>
      </c>
      <c r="R7" s="135" t="n">
        <v>0.1453</v>
      </c>
      <c r="S7" s="135" t="n">
        <v>0.16617</v>
      </c>
    </row>
    <row r="8" ht="18" customHeight="1" s="74">
      <c r="A8" s="106" t="inlineStr">
        <is>
          <t>Summer</t>
        </is>
      </c>
      <c r="B8" s="107" t="inlineStr">
        <is>
          <t>Off-Peak</t>
        </is>
      </c>
      <c r="C8" s="108" t="inlineStr">
        <is>
          <t>All other hours</t>
        </is>
      </c>
      <c r="D8" s="96" t="n">
        <v>0.27338</v>
      </c>
      <c r="E8" s="97" t="n">
        <v>0.0736</v>
      </c>
      <c r="F8" s="98">
        <f>D8+E8</f>
        <v/>
      </c>
      <c r="G8" s="99" t="n">
        <v>0.07675</v>
      </c>
      <c r="H8" s="99" t="n">
        <v>0.08475000000000001</v>
      </c>
      <c r="I8" s="100" t="n">
        <v>0.05063</v>
      </c>
      <c r="J8" s="100" t="n">
        <v>0.11039</v>
      </c>
      <c r="K8" s="101" t="n">
        <v>0.08176</v>
      </c>
      <c r="L8" s="102" t="n">
        <v>0.09540999999999999</v>
      </c>
      <c r="M8" s="102" t="n">
        <v>0.10541</v>
      </c>
      <c r="N8" s="102" t="n">
        <v>0.11041</v>
      </c>
      <c r="O8" s="109" t="inlineStr">
        <is>
          <t>N/A</t>
        </is>
      </c>
      <c r="P8" s="109" t="inlineStr">
        <is>
          <t>N/A</t>
        </is>
      </c>
      <c r="Q8" s="135" t="n">
        <v>0.08196000000000001</v>
      </c>
      <c r="R8" s="135" t="n">
        <v>0.08420999999999999</v>
      </c>
      <c r="S8" s="135" t="n">
        <v>0.09544999999999999</v>
      </c>
    </row>
    <row r="9" ht="18" customHeight="1" s="74">
      <c r="A9" s="105" t="inlineStr">
        <is>
          <t>— Winter Season —</t>
        </is>
      </c>
    </row>
    <row r="10" ht="18" customHeight="1" s="74">
      <c r="A10" s="106" t="inlineStr">
        <is>
          <t>Winter</t>
        </is>
      </c>
      <c r="B10" s="107" t="inlineStr">
        <is>
          <t>Mid-Peak</t>
        </is>
      </c>
      <c r="C10" s="108" t="inlineStr">
        <is>
          <t>4:00 PM – 9:00 PM, every day</t>
        </is>
      </c>
      <c r="D10" s="96" t="n">
        <v>0.33082</v>
      </c>
      <c r="E10" s="97" t="n">
        <v>0.18077</v>
      </c>
      <c r="F10" s="98">
        <f>D10+E10</f>
        <v/>
      </c>
      <c r="G10" s="99" t="n">
        <v>0.18965</v>
      </c>
      <c r="H10" s="99" t="n">
        <v>0.19765</v>
      </c>
      <c r="I10" s="100" t="n">
        <v>0.15573</v>
      </c>
      <c r="J10" s="100" t="n">
        <v>0.27126</v>
      </c>
      <c r="K10" s="101" t="n">
        <v>0.18342</v>
      </c>
      <c r="L10" s="102" t="n">
        <v>0.20482</v>
      </c>
      <c r="M10" s="102" t="n">
        <v>0.21482</v>
      </c>
      <c r="N10" s="102" t="n">
        <v>0.21982</v>
      </c>
      <c r="O10" s="109" t="inlineStr">
        <is>
          <t>N/A</t>
        </is>
      </c>
      <c r="P10" s="109" t="inlineStr">
        <is>
          <t>N/A</t>
        </is>
      </c>
      <c r="Q10" s="135" t="n">
        <v>0.18362</v>
      </c>
      <c r="R10" s="135" t="n">
        <v>0.18918</v>
      </c>
      <c r="S10" s="135" t="n">
        <v>0.21695</v>
      </c>
    </row>
    <row r="11" ht="18" customHeight="1" s="74">
      <c r="A11" s="110" t="inlineStr">
        <is>
          <t>Winter</t>
        </is>
      </c>
      <c r="B11" s="111" t="inlineStr">
        <is>
          <t>Off-Peak</t>
        </is>
      </c>
      <c r="C11" s="112" t="inlineStr">
        <is>
          <t>9:00 PM – 8:00 AM, every day</t>
        </is>
      </c>
      <c r="D11" s="96" t="n">
        <v>0.27338</v>
      </c>
      <c r="E11" s="97" t="n">
        <v>0.10212</v>
      </c>
      <c r="F11" s="98">
        <f>D11+E11</f>
        <v/>
      </c>
      <c r="G11" s="99" t="n">
        <v>0.10565</v>
      </c>
      <c r="H11" s="99" t="n">
        <v>0.11365</v>
      </c>
      <c r="I11" s="100" t="n">
        <v>0.0786</v>
      </c>
      <c r="J11" s="100" t="n">
        <v>0.15183</v>
      </c>
      <c r="K11" s="101" t="n">
        <v>0.10778</v>
      </c>
      <c r="L11" s="102" t="n">
        <v>0.12398</v>
      </c>
      <c r="M11" s="102" t="n">
        <v>0.13398</v>
      </c>
      <c r="N11" s="102" t="n">
        <v>0.13898</v>
      </c>
      <c r="O11" s="109" t="inlineStr">
        <is>
          <t>N/A</t>
        </is>
      </c>
      <c r="P11" s="109" t="inlineStr">
        <is>
          <t>N/A</t>
        </is>
      </c>
      <c r="Q11" s="135" t="n">
        <v>0.10798</v>
      </c>
      <c r="R11" s="135" t="n">
        <v>0.11108</v>
      </c>
      <c r="S11" s="135" t="n">
        <v>0.12655</v>
      </c>
    </row>
    <row r="12" ht="18" customHeight="1" s="74">
      <c r="A12" s="106" t="inlineStr">
        <is>
          <t>Winter</t>
        </is>
      </c>
      <c r="B12" s="107" t="inlineStr">
        <is>
          <t>Super-Off-Peak</t>
        </is>
      </c>
      <c r="C12" s="108" t="inlineStr">
        <is>
          <t>8:00 AM – 4:00 PM, every day</t>
        </is>
      </c>
      <c r="D12" s="96" t="n">
        <v>0.25272</v>
      </c>
      <c r="E12" s="97" t="n">
        <v>0.08364000000000001</v>
      </c>
      <c r="F12" s="98">
        <f>D12+E12</f>
        <v/>
      </c>
      <c r="G12" s="99" t="n">
        <v>0.08559</v>
      </c>
      <c r="H12" s="99" t="n">
        <v>0.09359000000000001</v>
      </c>
      <c r="I12" s="100" t="n">
        <v>0.06048</v>
      </c>
      <c r="J12" s="100" t="n">
        <v>0.12351</v>
      </c>
      <c r="K12" s="101" t="n">
        <v>0.08971999999999999</v>
      </c>
      <c r="L12" s="102" t="n">
        <v>0.10466</v>
      </c>
      <c r="M12" s="102" t="n">
        <v>0.11466</v>
      </c>
      <c r="N12" s="102" t="n">
        <v>0.11966</v>
      </c>
      <c r="O12" s="109" t="inlineStr">
        <is>
          <t>N/A</t>
        </is>
      </c>
      <c r="P12" s="109" t="inlineStr">
        <is>
          <t>N/A</t>
        </is>
      </c>
      <c r="Q12" s="135" t="n">
        <v>0.08992</v>
      </c>
      <c r="R12" s="135" t="n">
        <v>0.09243</v>
      </c>
      <c r="S12" s="135" t="n">
        <v>0.10496</v>
      </c>
    </row>
    <row r="14" ht="27.75" customHeight="1" s="74">
      <c r="A14" s="113" t="inlineStr">
        <is>
          <t>⚠ Baseline Credit: ($0.10108)/kWh applied to usage up to 100% of monthly baseline allocation. Net delivery rate for baseline usage = Delivery Total − $0.10108.</t>
        </is>
      </c>
    </row>
    <row r="16" ht="24" customHeight="1" s="74">
      <c r="A16" s="104" t="inlineStr">
        <is>
          <t>Additional per-kWh charges (apply to ALL customers — see Fixed_Charges sheet):  Fixed Recovery Charge (FRC): +$0.00619/kWh  |  MCAM Charge: +$0.00223/kWh  |  BSC: $0.794/meter/day</t>
        </is>
      </c>
    </row>
    <row r="17" ht="19.5" customHeight="1" s="74">
      <c r="A17" s="104" t="inlineStr">
        <is>
          <t>CCA customers: Total rate = SCE Delivery + CCA Generation + FRC + MCAM. Non-bypassable charges (PCIA, WFC, CTC, FRC) shown on Non_Bypassable sheet.</t>
        </is>
      </c>
    </row>
    <row r="19" ht="15" customHeight="1" s="74">
      <c r="A19" s="114" t="inlineStr">
        <is>
          <t>COLOR KEY</t>
        </is>
      </c>
    </row>
    <row r="20" ht="15" customHeight="1" s="74">
      <c r="A20" s="115" t="inlineStr">
        <is>
          <t>Blue text</t>
        </is>
      </c>
      <c r="B20" s="116" t="inlineStr">
        <is>
          <t>Hardcoded value from authoritative tariff/rate source</t>
        </is>
      </c>
    </row>
    <row r="21" ht="15" customHeight="1" s="74">
      <c r="A21" s="115" t="inlineStr">
        <is>
          <t>Black text</t>
        </is>
      </c>
      <c r="B21" s="116" t="inlineStr">
        <is>
          <t>Formula / calculated value</t>
        </is>
      </c>
    </row>
    <row r="22" ht="15" customHeight="1" s="74">
      <c r="A22" s="115" t="inlineStr">
        <is>
          <t>Orange text (italic)</t>
        </is>
      </c>
      <c r="B22" s="116" t="inlineStr">
        <is>
          <t>Blended average — NOT per-period; use with caution</t>
        </is>
      </c>
    </row>
    <row r="23" ht="15" customHeight="1" s="74">
      <c r="A23" s="115" t="inlineStr">
        <is>
          <t>Grey "N/A"</t>
        </is>
      </c>
      <c r="B23" s="116" t="inlineStr">
        <is>
          <t>Rate not available for this plan/period from this CCA</t>
        </is>
      </c>
    </row>
  </sheetData>
  <mergeCells count="19">
    <mergeCell ref="O3:P3"/>
    <mergeCell ref="A9:T9"/>
    <mergeCell ref="A3:C3"/>
    <mergeCell ref="A1:T1"/>
    <mergeCell ref="B20:T20"/>
    <mergeCell ref="A16:T16"/>
    <mergeCell ref="G3:H3"/>
    <mergeCell ref="I3:J3"/>
    <mergeCell ref="B22:T22"/>
    <mergeCell ref="T3:T4"/>
    <mergeCell ref="B21:T21"/>
    <mergeCell ref="A2:T2"/>
    <mergeCell ref="A14:T14"/>
    <mergeCell ref="Q3:S3"/>
    <mergeCell ref="A5:T5"/>
    <mergeCell ref="A17:T17"/>
    <mergeCell ref="B23:T23"/>
    <mergeCell ref="L3:N3"/>
    <mergeCell ref="A19:T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73" min="1" max="1"/>
    <col width="22" customWidth="1" style="73" min="2" max="2"/>
    <col width="28" customWidth="1" style="73" min="3" max="3"/>
    <col width="13" customWidth="1" style="73" min="4" max="6"/>
    <col width="11" customWidth="1" style="73" min="7" max="16"/>
    <col width="18" customWidth="1" style="73" min="17" max="17"/>
  </cols>
  <sheetData>
    <row r="1" ht="25.5" customHeight="1" s="74">
      <c r="A1" s="86" t="inlineStr">
        <is>
          <t>SCE TOU-D-5 (Option 5-8 PM) — Delivery + Generation Rates ($/kWh)</t>
        </is>
      </c>
    </row>
    <row r="2" ht="15.75" customHeight="1" s="74">
      <c r="A2" s="87" t="inlineStr">
        <is>
          <t>Season: Summer: June–September  |  Winter: October–May  |  Rates from tariff PDFs + CCA rate sheets</t>
        </is>
      </c>
    </row>
    <row r="3" ht="21.75" customHeight="1" s="74">
      <c r="A3" s="88" t="inlineStr">
        <is>
          <t>Period</t>
        </is>
      </c>
      <c r="D3" s="89" t="inlineStr">
        <is>
          <t>SCE Delivery
(All Customers)</t>
        </is>
      </c>
      <c r="E3" s="90" t="inlineStr">
        <is>
          <t>SCE Generation
(Bundled Only)</t>
        </is>
      </c>
      <c r="F3" s="91" t="inlineStr">
        <is>
          <t>SCE Total Bundled
(Delivery + Gen)</t>
        </is>
      </c>
      <c r="G3" s="90" t="inlineStr">
        <is>
          <t>3CE
(CCA Generation)</t>
        </is>
      </c>
      <c r="I3" s="92" t="inlineStr">
        <is>
          <t>DCE
(CCA Generation)</t>
        </is>
      </c>
      <c r="K3" s="93" t="inlineStr">
        <is>
          <t>AVCE
(CCA Generation)</t>
        </is>
      </c>
      <c r="L3" s="94" t="inlineStr">
        <is>
          <t>OCPA
(CCA Generation)</t>
        </is>
      </c>
      <c r="O3" s="95" t="inlineStr">
        <is>
          <t>PRIME ⚠Avg
(CCA Generation)</t>
        </is>
      </c>
      <c r="Q3" s="95" t="inlineStr">
        <is>
          <t>CPA (Clean Power Alliance)
(CCA Generation)</t>
        </is>
      </c>
      <c r="T3" s="88" t="inlineStr">
        <is>
          <t>Notes</t>
        </is>
      </c>
    </row>
    <row r="4" ht="33.75" customHeight="1" s="74">
      <c r="A4" s="88" t="inlineStr">
        <is>
          <t>Season</t>
        </is>
      </c>
      <c r="B4" s="88" t="inlineStr">
        <is>
          <t>Period</t>
        </is>
      </c>
      <c r="C4" s="88" t="inlineStr">
        <is>
          <t>Time Window</t>
        </is>
      </c>
      <c r="D4" s="89" t="inlineStr">
        <is>
          <t>Delivery
Total ($/kWh)</t>
        </is>
      </c>
      <c r="E4" s="90" t="inlineStr">
        <is>
          <t>SCE Gen
(Bundled $/kWh)</t>
        </is>
      </c>
      <c r="F4" s="91" t="inlineStr">
        <is>
          <t>SCE Total
Bundled ($/kWh)</t>
        </is>
      </c>
      <c r="G4" s="90" t="inlineStr">
        <is>
          <t>3Cchoice
($/kWh)</t>
        </is>
      </c>
      <c r="H4" s="90" t="inlineStr">
        <is>
          <t>3Cprime
($/kWh)</t>
        </is>
      </c>
      <c r="I4" s="92" t="inlineStr">
        <is>
          <t>Desert Saver
($/kWh)</t>
        </is>
      </c>
      <c r="J4" s="92" t="inlineStr">
        <is>
          <t>Carbon Free
($/kWh)</t>
        </is>
      </c>
      <c r="K4" s="93" t="inlineStr">
        <is>
          <t>Standard
($/kWh)</t>
        </is>
      </c>
      <c r="L4" s="94" t="inlineStr">
        <is>
          <t>Basic Choice
($/kWh)</t>
        </is>
      </c>
      <c r="M4" s="94" t="inlineStr">
        <is>
          <t>Smart Choice
($/kWh)</t>
        </is>
      </c>
      <c r="N4" s="94" t="inlineStr">
        <is>
          <t>100% Renew.
($/kWh)</t>
        </is>
      </c>
      <c r="O4" s="95" t="inlineStr">
        <is>
          <t>PRIME Power
($/kWh)</t>
        </is>
      </c>
      <c r="P4" s="95" t="inlineStr">
        <is>
          <t>PRIME Future
($/kWh)</t>
        </is>
      </c>
      <c r="Q4" s="95" t="inlineStr">
        <is>
          <t>Lean Power
($/kWh)</t>
        </is>
      </c>
      <c r="R4" s="95" t="inlineStr">
        <is>
          <t>Clean Power
($/kWh)</t>
        </is>
      </c>
      <c r="S4" s="95" t="inlineStr">
        <is>
          <t>100% Green Pwr
($/kWh)</t>
        </is>
      </c>
    </row>
    <row r="5" ht="18" customHeight="1" s="74">
      <c r="A5" s="105" t="inlineStr">
        <is>
          <t>— Summer Season —</t>
        </is>
      </c>
    </row>
    <row r="6" ht="18" customHeight="1" s="74">
      <c r="A6" s="106" t="inlineStr">
        <is>
          <t>Summer</t>
        </is>
      </c>
      <c r="B6" s="107" t="inlineStr">
        <is>
          <t>On-Peak</t>
        </is>
      </c>
      <c r="C6" s="108" t="inlineStr">
        <is>
          <t>5:00 PM – 8:00 PM, Mon–Fri (excl. holidays)</t>
        </is>
      </c>
      <c r="D6" s="96" t="n">
        <v>0.3315</v>
      </c>
      <c r="E6" s="97" t="n">
        <v>0.41297</v>
      </c>
      <c r="F6" s="98">
        <f>D6+E6</f>
        <v/>
      </c>
      <c r="G6" s="99" t="n">
        <v>0.42757</v>
      </c>
      <c r="H6" s="99" t="n">
        <v>0.43557</v>
      </c>
      <c r="I6" s="100" t="n">
        <v>0.38345</v>
      </c>
      <c r="J6" s="100" t="n">
        <v>0.6096200000000001</v>
      </c>
      <c r="K6" s="101" t="n">
        <v>0.39583</v>
      </c>
      <c r="L6" s="102" t="n">
        <v>0.42963</v>
      </c>
      <c r="M6" s="102" t="n">
        <v>0.43963</v>
      </c>
      <c r="N6" s="102" t="n">
        <v>0.44463</v>
      </c>
      <c r="O6" s="109" t="inlineStr">
        <is>
          <t>N/A</t>
        </is>
      </c>
      <c r="P6" s="109" t="inlineStr">
        <is>
          <t>N/A</t>
        </is>
      </c>
      <c r="Q6" s="135" t="n">
        <v>0.39603</v>
      </c>
      <c r="R6" s="135" t="n">
        <v>0.40853</v>
      </c>
      <c r="S6" s="135" t="n">
        <v>0.47105</v>
      </c>
    </row>
    <row r="7" ht="18" customHeight="1" s="74">
      <c r="A7" s="110" t="inlineStr">
        <is>
          <t>Summer</t>
        </is>
      </c>
      <c r="B7" s="111" t="inlineStr">
        <is>
          <t>Mid-Peak</t>
        </is>
      </c>
      <c r="C7" s="112" t="inlineStr">
        <is>
          <t>5:00 PM – 8:00 PM, Sat/Sun &amp; holidays</t>
        </is>
      </c>
      <c r="D7" s="96" t="n">
        <v>0.3315</v>
      </c>
      <c r="E7" s="97" t="n">
        <v>0.21262</v>
      </c>
      <c r="F7" s="98">
        <f>D7+E7</f>
        <v/>
      </c>
      <c r="G7" s="99" t="n">
        <v>0.21894</v>
      </c>
      <c r="H7" s="99" t="n">
        <v>0.22694</v>
      </c>
      <c r="I7" s="100" t="n">
        <v>0.18697</v>
      </c>
      <c r="J7" s="100" t="n">
        <v>0.31035</v>
      </c>
      <c r="K7" s="101" t="n">
        <v>0.20886</v>
      </c>
      <c r="L7" s="102" t="n">
        <v>0.23069</v>
      </c>
      <c r="M7" s="102" t="n">
        <v>0.24069</v>
      </c>
      <c r="N7" s="102" t="n">
        <v>0.24569</v>
      </c>
      <c r="O7" s="109" t="inlineStr">
        <is>
          <t>N/A</t>
        </is>
      </c>
      <c r="P7" s="109" t="inlineStr">
        <is>
          <t>N/A</t>
        </is>
      </c>
      <c r="Q7" s="135" t="n">
        <v>0.20906</v>
      </c>
      <c r="R7" s="135" t="n">
        <v>0.21546</v>
      </c>
      <c r="S7" s="135" t="n">
        <v>0.24747</v>
      </c>
    </row>
    <row r="8" ht="18" customHeight="1" s="74">
      <c r="A8" s="106" t="inlineStr">
        <is>
          <t>Summer</t>
        </is>
      </c>
      <c r="B8" s="107" t="inlineStr">
        <is>
          <t>Off-Peak</t>
        </is>
      </c>
      <c r="C8" s="108" t="inlineStr">
        <is>
          <t>All other hours</t>
        </is>
      </c>
      <c r="D8" s="96" t="n">
        <v>0.28277</v>
      </c>
      <c r="E8" s="97" t="n">
        <v>0.06285</v>
      </c>
      <c r="F8" s="98">
        <f>D8+E8</f>
        <v/>
      </c>
      <c r="G8" s="99" t="n">
        <v>0.06669</v>
      </c>
      <c r="H8" s="99" t="n">
        <v>0.07469000000000001</v>
      </c>
      <c r="I8" s="100" t="n">
        <v>0.04009</v>
      </c>
      <c r="J8" s="100" t="n">
        <v>0.09529</v>
      </c>
      <c r="K8" s="101" t="n">
        <v>0.07241</v>
      </c>
      <c r="L8" s="102" t="n">
        <v>0.08550000000000001</v>
      </c>
      <c r="M8" s="102" t="n">
        <v>0.0955</v>
      </c>
      <c r="N8" s="102" t="n">
        <v>0.1005</v>
      </c>
      <c r="O8" s="109" t="inlineStr">
        <is>
          <t>N/A</t>
        </is>
      </c>
      <c r="P8" s="109" t="inlineStr">
        <is>
          <t>N/A</t>
        </is>
      </c>
      <c r="Q8" s="135" t="n">
        <v>0.07260999999999999</v>
      </c>
      <c r="R8" s="135" t="n">
        <v>0.07456</v>
      </c>
      <c r="S8" s="135" t="n">
        <v>0.08431</v>
      </c>
    </row>
    <row r="9" ht="18" customHeight="1" s="74">
      <c r="A9" s="105" t="inlineStr">
        <is>
          <t>— Winter Season —</t>
        </is>
      </c>
    </row>
    <row r="10" ht="18" customHeight="1" s="74">
      <c r="A10" s="106" t="inlineStr">
        <is>
          <t>Winter</t>
        </is>
      </c>
      <c r="B10" s="107" t="inlineStr">
        <is>
          <t>Mid-Peak</t>
        </is>
      </c>
      <c r="C10" s="108" t="inlineStr">
        <is>
          <t>5:00 PM – 8:00 PM, every day</t>
        </is>
      </c>
      <c r="D10" s="96" t="n">
        <v>0.3315</v>
      </c>
      <c r="E10" s="97" t="n">
        <v>0.2771</v>
      </c>
      <c r="F10" s="98">
        <f>D10+E10</f>
        <v/>
      </c>
      <c r="G10" s="99" t="n">
        <v>0.28516</v>
      </c>
      <c r="H10" s="99" t="n">
        <v>0.29316</v>
      </c>
      <c r="I10" s="100" t="n">
        <v>0.2502</v>
      </c>
      <c r="J10" s="100" t="n">
        <v>0.4061</v>
      </c>
      <c r="K10" s="101" t="n">
        <v>0.2682</v>
      </c>
      <c r="L10" s="102" t="n">
        <v>0.29519</v>
      </c>
      <c r="M10" s="102" t="n">
        <v>0.30519</v>
      </c>
      <c r="N10" s="102" t="n">
        <v>0.31019</v>
      </c>
      <c r="O10" s="109" t="inlineStr">
        <is>
          <t>N/A</t>
        </is>
      </c>
      <c r="P10" s="109" t="inlineStr">
        <is>
          <t>N/A</t>
        </is>
      </c>
      <c r="Q10" s="135" t="n">
        <v>0.2684</v>
      </c>
      <c r="R10" s="135" t="n">
        <v>0.27674</v>
      </c>
      <c r="S10" s="135" t="n">
        <v>0.31843</v>
      </c>
    </row>
    <row r="11" ht="18" customHeight="1" s="74">
      <c r="A11" s="110" t="inlineStr">
        <is>
          <t>Winter</t>
        </is>
      </c>
      <c r="B11" s="111" t="inlineStr">
        <is>
          <t>Off-Peak</t>
        </is>
      </c>
      <c r="C11" s="112" t="inlineStr">
        <is>
          <t>8:00 PM – 8:00 AM, every day</t>
        </is>
      </c>
      <c r="D11" s="96" t="n">
        <v>0.28277</v>
      </c>
      <c r="E11" s="97" t="n">
        <v>0.09955</v>
      </c>
      <c r="F11" s="98">
        <f>D11+E11</f>
        <v/>
      </c>
      <c r="G11" s="99" t="n">
        <v>0.10429</v>
      </c>
      <c r="H11" s="99" t="n">
        <v>0.11229</v>
      </c>
      <c r="I11" s="100" t="n">
        <v>0.07607999999999999</v>
      </c>
      <c r="J11" s="100" t="n">
        <v>0.14902</v>
      </c>
      <c r="K11" s="101" t="n">
        <v>0.10612</v>
      </c>
      <c r="L11" s="102" t="n">
        <v>0.12225</v>
      </c>
      <c r="M11" s="102" t="n">
        <v>0.13225</v>
      </c>
      <c r="N11" s="102" t="n">
        <v>0.13725</v>
      </c>
      <c r="O11" s="109" t="inlineStr">
        <is>
          <t>N/A</t>
        </is>
      </c>
      <c r="P11" s="109" t="inlineStr">
        <is>
          <t>N/A</t>
        </is>
      </c>
      <c r="Q11" s="135" t="n">
        <v>0.10632</v>
      </c>
      <c r="R11" s="135" t="n">
        <v>0.10937</v>
      </c>
      <c r="S11" s="135" t="n">
        <v>0.12462</v>
      </c>
    </row>
    <row r="12" ht="18" customHeight="1" s="74">
      <c r="A12" s="106" t="inlineStr">
        <is>
          <t>Winter</t>
        </is>
      </c>
      <c r="B12" s="107" t="inlineStr">
        <is>
          <t>Super-Off-Peak</t>
        </is>
      </c>
      <c r="C12" s="108" t="inlineStr">
        <is>
          <t>8:00 AM – 5:00 PM, every day</t>
        </is>
      </c>
      <c r="D12" s="96" t="n">
        <v>0.25638</v>
      </c>
      <c r="E12" s="97" t="n">
        <v>0.06937</v>
      </c>
      <c r="F12" s="98">
        <f>D12+E12</f>
        <v/>
      </c>
      <c r="G12" s="99" t="n">
        <v>0.07496999999999999</v>
      </c>
      <c r="H12" s="99" t="n">
        <v>0.08297</v>
      </c>
      <c r="I12" s="100" t="n">
        <v>0.04648</v>
      </c>
      <c r="J12" s="100" t="n">
        <v>0.10819</v>
      </c>
      <c r="K12" s="101" t="n">
        <v>0.07983</v>
      </c>
      <c r="L12" s="102" t="n">
        <v>0.09415</v>
      </c>
      <c r="M12" s="102" t="n">
        <v>0.10415</v>
      </c>
      <c r="N12" s="102" t="n">
        <v>0.10915</v>
      </c>
      <c r="O12" s="109" t="inlineStr">
        <is>
          <t>N/A</t>
        </is>
      </c>
      <c r="P12" s="109" t="inlineStr">
        <is>
          <t>N/A</t>
        </is>
      </c>
      <c r="Q12" s="135" t="n">
        <v>0.08003</v>
      </c>
      <c r="R12" s="135" t="n">
        <v>0.08222</v>
      </c>
      <c r="S12" s="135" t="n">
        <v>0.09318</v>
      </c>
    </row>
    <row r="14" ht="27.75" customHeight="1" s="74">
      <c r="A14" s="113" t="inlineStr">
        <is>
          <t>⚠ Baseline Credit: ($0.10108)/kWh applied to usage up to 100% of monthly baseline allocation. Net delivery rate for baseline usage = Delivery Total − $0.10108.</t>
        </is>
      </c>
    </row>
    <row r="16" ht="24" customHeight="1" s="74">
      <c r="A16" s="104" t="inlineStr">
        <is>
          <t>Additional per-kWh charges (apply to ALL customers — see Fixed_Charges sheet):  Fixed Recovery Charge (FRC): +$0.00619/kWh  |  MCAM Charge: +$0.00223/kWh  |  BSC: $0.794/meter/day</t>
        </is>
      </c>
    </row>
    <row r="17" ht="19.5" customHeight="1" s="74">
      <c r="A17" s="104" t="inlineStr">
        <is>
          <t>CCA customers: Total rate = SCE Delivery + CCA Generation + FRC + MCAM. Non-bypassable charges (PCIA, WFC, CTC, FRC) shown on Non_Bypassable sheet.</t>
        </is>
      </c>
    </row>
    <row r="19" ht="15" customHeight="1" s="74">
      <c r="A19" s="114" t="inlineStr">
        <is>
          <t>COLOR KEY</t>
        </is>
      </c>
    </row>
    <row r="20" ht="15" customHeight="1" s="74">
      <c r="A20" s="115" t="inlineStr">
        <is>
          <t>Blue text</t>
        </is>
      </c>
      <c r="B20" s="116" t="inlineStr">
        <is>
          <t>Hardcoded value from authoritative tariff/rate source</t>
        </is>
      </c>
    </row>
    <row r="21" ht="15" customHeight="1" s="74">
      <c r="A21" s="115" t="inlineStr">
        <is>
          <t>Black text</t>
        </is>
      </c>
      <c r="B21" s="116" t="inlineStr">
        <is>
          <t>Formula / calculated value</t>
        </is>
      </c>
    </row>
    <row r="22" ht="15" customHeight="1" s="74">
      <c r="A22" s="115" t="inlineStr">
        <is>
          <t>Orange text (italic)</t>
        </is>
      </c>
      <c r="B22" s="116" t="inlineStr">
        <is>
          <t>Blended average — NOT per-period; use with caution</t>
        </is>
      </c>
    </row>
    <row r="23" ht="15" customHeight="1" s="74">
      <c r="A23" s="115" t="inlineStr">
        <is>
          <t>Grey "N/A"</t>
        </is>
      </c>
      <c r="B23" s="116" t="inlineStr">
        <is>
          <t>Rate not available for this plan/period from this CCA</t>
        </is>
      </c>
    </row>
  </sheetData>
  <mergeCells count="19">
    <mergeCell ref="O3:P3"/>
    <mergeCell ref="A9:T9"/>
    <mergeCell ref="A3:C3"/>
    <mergeCell ref="A1:T1"/>
    <mergeCell ref="B20:T20"/>
    <mergeCell ref="A16:T16"/>
    <mergeCell ref="G3:H3"/>
    <mergeCell ref="I3:J3"/>
    <mergeCell ref="B22:T22"/>
    <mergeCell ref="T3:T4"/>
    <mergeCell ref="B21:T21"/>
    <mergeCell ref="A2:T2"/>
    <mergeCell ref="A14:T14"/>
    <mergeCell ref="Q3:S3"/>
    <mergeCell ref="A5:T5"/>
    <mergeCell ref="A17:T17"/>
    <mergeCell ref="B23:T23"/>
    <mergeCell ref="L3:N3"/>
    <mergeCell ref="A19:T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73" min="1" max="1"/>
    <col width="22" customWidth="1" style="73" min="2" max="2"/>
    <col width="28" customWidth="1" style="73" min="3" max="3"/>
    <col width="13" customWidth="1" style="73" min="4" max="6"/>
    <col width="11" customWidth="1" style="73" min="7" max="16"/>
    <col width="18" customWidth="1" style="73" min="17" max="17"/>
  </cols>
  <sheetData>
    <row r="1" ht="25.5" customHeight="1" s="74">
      <c r="A1" s="86" t="inlineStr">
        <is>
          <t>SCE TOU-D-PRIME (Option PRIME / EV Plan) — Delivery + Generation Rates ($/kWh)</t>
        </is>
      </c>
    </row>
    <row r="2" ht="15.75" customHeight="1" s="74">
      <c r="A2" s="87" t="inlineStr">
        <is>
          <t>Season: Summer: June–September  |  Winter: October–May  |  Rates from tariff PDFs + CCA rate sheets</t>
        </is>
      </c>
    </row>
    <row r="3" ht="21.75" customHeight="1" s="74">
      <c r="A3" s="88" t="inlineStr">
        <is>
          <t>Period</t>
        </is>
      </c>
      <c r="D3" s="89" t="inlineStr">
        <is>
          <t>SCE Delivery
(All Customers)</t>
        </is>
      </c>
      <c r="E3" s="90" t="inlineStr">
        <is>
          <t>SCE Generation
(Bundled Only)</t>
        </is>
      </c>
      <c r="F3" s="91" t="inlineStr">
        <is>
          <t>SCE Total Bundled
(Delivery + Gen)</t>
        </is>
      </c>
      <c r="G3" s="90" t="inlineStr">
        <is>
          <t>3CE
(CCA Generation)</t>
        </is>
      </c>
      <c r="I3" s="92" t="inlineStr">
        <is>
          <t>DCE
(CCA Generation)</t>
        </is>
      </c>
      <c r="K3" s="93" t="inlineStr">
        <is>
          <t>AVCE
(CCA Generation)</t>
        </is>
      </c>
      <c r="L3" s="94" t="inlineStr">
        <is>
          <t>OCPA
(CCA Generation)</t>
        </is>
      </c>
      <c r="O3" s="95" t="inlineStr">
        <is>
          <t>PRIME ⚠Avg
(CCA Generation)</t>
        </is>
      </c>
      <c r="Q3" s="95" t="inlineStr">
        <is>
          <t>CPA (Clean Power Alliance)
(CCA Generation)</t>
        </is>
      </c>
      <c r="T3" s="88" t="inlineStr">
        <is>
          <t>Notes</t>
        </is>
      </c>
    </row>
    <row r="4" ht="33.75" customHeight="1" s="74">
      <c r="A4" s="88" t="inlineStr">
        <is>
          <t>Season</t>
        </is>
      </c>
      <c r="B4" s="88" t="inlineStr">
        <is>
          <t>Period</t>
        </is>
      </c>
      <c r="C4" s="88" t="inlineStr">
        <is>
          <t>Time Window</t>
        </is>
      </c>
      <c r="D4" s="89" t="inlineStr">
        <is>
          <t>Delivery
Total ($/kWh)</t>
        </is>
      </c>
      <c r="E4" s="90" t="inlineStr">
        <is>
          <t>SCE Gen
(Bundled $/kWh)</t>
        </is>
      </c>
      <c r="F4" s="91" t="inlineStr">
        <is>
          <t>SCE Total
Bundled ($/kWh)</t>
        </is>
      </c>
      <c r="G4" s="90" t="inlineStr">
        <is>
          <t>3Cchoice
($/kWh)</t>
        </is>
      </c>
      <c r="H4" s="90" t="inlineStr">
        <is>
          <t>3Cprime
($/kWh)</t>
        </is>
      </c>
      <c r="I4" s="92" t="inlineStr">
        <is>
          <t>Desert Saver
($/kWh)</t>
        </is>
      </c>
      <c r="J4" s="92" t="inlineStr">
        <is>
          <t>Carbon Free
($/kWh)</t>
        </is>
      </c>
      <c r="K4" s="93" t="inlineStr">
        <is>
          <t>Standard
($/kWh)</t>
        </is>
      </c>
      <c r="L4" s="94" t="inlineStr">
        <is>
          <t>Basic Choice
($/kWh)</t>
        </is>
      </c>
      <c r="M4" s="94" t="inlineStr">
        <is>
          <t>Smart Choice
($/kWh)</t>
        </is>
      </c>
      <c r="N4" s="94" t="inlineStr">
        <is>
          <t>100% Renew.
($/kWh)</t>
        </is>
      </c>
      <c r="O4" s="95" t="inlineStr">
        <is>
          <t>PRIME Power
($/kWh)</t>
        </is>
      </c>
      <c r="P4" s="95" t="inlineStr">
        <is>
          <t>PRIME Future
($/kWh)</t>
        </is>
      </c>
      <c r="Q4" s="95" t="inlineStr">
        <is>
          <t>Lean Power
($/kWh)</t>
        </is>
      </c>
      <c r="R4" s="95" t="inlineStr">
        <is>
          <t>Clean Power
($/kWh)</t>
        </is>
      </c>
      <c r="S4" s="95" t="inlineStr">
        <is>
          <t>100% Green Pwr
($/kWh)</t>
        </is>
      </c>
    </row>
    <row r="5" ht="18" customHeight="1" s="74">
      <c r="A5" s="105" t="inlineStr">
        <is>
          <t>— Summer Season —</t>
        </is>
      </c>
    </row>
    <row r="6" ht="18" customHeight="1" s="74">
      <c r="A6" s="106" t="inlineStr">
        <is>
          <t>Summer</t>
        </is>
      </c>
      <c r="B6" s="107" t="inlineStr">
        <is>
          <t>On-Peak</t>
        </is>
      </c>
      <c r="C6" s="108" t="inlineStr">
        <is>
          <t>4:00 PM – 9:00 PM, Mon–Fri (excl. holidays)</t>
        </is>
      </c>
      <c r="D6" s="96" t="n">
        <v>0.29558</v>
      </c>
      <c r="E6" s="97" t="n">
        <v>0.29667</v>
      </c>
      <c r="F6" s="98">
        <f>D6+E6</f>
        <v/>
      </c>
      <c r="G6" s="99" t="n">
        <v>0.31554</v>
      </c>
      <c r="H6" s="99" t="n">
        <v>0.32354</v>
      </c>
      <c r="I6" s="100" t="n">
        <v>0.26671</v>
      </c>
      <c r="J6" s="100" t="n">
        <v>0.47332</v>
      </c>
      <c r="K6" s="101" t="n">
        <v>0.2932</v>
      </c>
      <c r="L6" s="102" t="n">
        <v>0.33509</v>
      </c>
      <c r="M6" s="102" t="n">
        <v>0.34509</v>
      </c>
      <c r="N6" s="102" t="n">
        <v>0.35009</v>
      </c>
      <c r="O6" s="109" t="inlineStr">
        <is>
          <t>N/A</t>
        </is>
      </c>
      <c r="P6" s="109" t="inlineStr">
        <is>
          <t>N/A</t>
        </is>
      </c>
      <c r="Q6" s="135" t="n">
        <v>0.2934</v>
      </c>
      <c r="R6" s="135" t="n">
        <v>0.30277</v>
      </c>
      <c r="S6" s="135" t="n">
        <v>0.34965</v>
      </c>
    </row>
    <row r="7" ht="18" customHeight="1" s="74">
      <c r="A7" s="110" t="inlineStr">
        <is>
          <t>Summer</t>
        </is>
      </c>
      <c r="B7" s="111" t="inlineStr">
        <is>
          <t>Mid-Peak</t>
        </is>
      </c>
      <c r="C7" s="112" t="inlineStr">
        <is>
          <t>4:00 PM – 9:00 PM, Sat/Sun &amp; holidays</t>
        </is>
      </c>
      <c r="D7" s="96" t="n">
        <v>0.29558</v>
      </c>
      <c r="E7" s="97" t="n">
        <v>0.10558</v>
      </c>
      <c r="F7" s="98">
        <f>D7+E7</f>
        <v/>
      </c>
      <c r="G7" s="99" t="n">
        <v>0.11229</v>
      </c>
      <c r="H7" s="99" t="n">
        <v>0.12029</v>
      </c>
      <c r="I7" s="100" t="n">
        <v>0.08117000000000001</v>
      </c>
      <c r="J7" s="100" t="n">
        <v>0.15386</v>
      </c>
      <c r="K7" s="101" t="n">
        <v>0.11249</v>
      </c>
      <c r="L7" s="102" t="n">
        <v>0.1278</v>
      </c>
      <c r="M7" s="102" t="n">
        <v>0.1378</v>
      </c>
      <c r="N7" s="102" t="n">
        <v>0.1428</v>
      </c>
      <c r="O7" s="109" t="inlineStr">
        <is>
          <t>N/A</t>
        </is>
      </c>
      <c r="P7" s="109" t="inlineStr">
        <is>
          <t>N/A</t>
        </is>
      </c>
      <c r="Q7" s="135" t="n">
        <v>0.11269</v>
      </c>
      <c r="R7" s="135" t="n">
        <v>0.11602</v>
      </c>
      <c r="S7" s="135" t="n">
        <v>0.1327</v>
      </c>
    </row>
    <row r="8" ht="18" customHeight="1" s="74">
      <c r="A8" s="106" t="inlineStr">
        <is>
          <t>Summer</t>
        </is>
      </c>
      <c r="B8" s="107" t="inlineStr">
        <is>
          <t>Off-Peak</t>
        </is>
      </c>
      <c r="C8" s="108" t="inlineStr">
        <is>
          <t>All other hours (incl. midnight–6 AM)</t>
        </is>
      </c>
      <c r="D8" s="96" t="n">
        <v>0.19737</v>
      </c>
      <c r="E8" s="97" t="n">
        <v>0.07049</v>
      </c>
      <c r="F8" s="98">
        <f>D8+E8</f>
        <v/>
      </c>
      <c r="G8" s="99" t="n">
        <v>0.07496999999999999</v>
      </c>
      <c r="H8" s="99" t="n">
        <v>0.08297</v>
      </c>
      <c r="I8" s="100" t="n">
        <v>0.0471</v>
      </c>
      <c r="J8" s="100" t="n">
        <v>0.09629</v>
      </c>
      <c r="K8" s="101" t="n">
        <v>0.07931000000000001</v>
      </c>
      <c r="L8" s="102" t="n">
        <v>0.08974</v>
      </c>
      <c r="M8" s="102" t="n">
        <v>0.09974</v>
      </c>
      <c r="N8" s="102" t="n">
        <v>0.10474</v>
      </c>
      <c r="O8" s="109" t="inlineStr">
        <is>
          <t>N/A</t>
        </is>
      </c>
      <c r="P8" s="109" t="inlineStr">
        <is>
          <t>N/A</t>
        </is>
      </c>
      <c r="Q8" s="135" t="n">
        <v>0.07951</v>
      </c>
      <c r="R8" s="135" t="n">
        <v>0.08173</v>
      </c>
      <c r="S8" s="135" t="n">
        <v>0.09286999999999999</v>
      </c>
    </row>
    <row r="9" ht="18" customHeight="1" s="74">
      <c r="A9" s="105" t="inlineStr">
        <is>
          <t>— Winter Season —</t>
        </is>
      </c>
    </row>
    <row r="10" ht="18" customHeight="1" s="74">
      <c r="A10" s="106" t="inlineStr">
        <is>
          <t>Winter</t>
        </is>
      </c>
      <c r="B10" s="107" t="inlineStr">
        <is>
          <t>Mid-Peak</t>
        </is>
      </c>
      <c r="C10" s="108" t="inlineStr">
        <is>
          <t>4:00 PM – 9:00 PM, every day</t>
        </is>
      </c>
      <c r="D10" s="96" t="n">
        <v>0.30091</v>
      </c>
      <c r="E10" s="97" t="n">
        <v>0.26489</v>
      </c>
      <c r="F10" s="98">
        <f>D10+E10</f>
        <v/>
      </c>
      <c r="G10" s="99" t="n">
        <v>0.27589</v>
      </c>
      <c r="H10" s="99" t="n">
        <v>0.28389</v>
      </c>
      <c r="I10" s="100" t="n">
        <v>0.23585</v>
      </c>
      <c r="J10" s="100" t="n">
        <v>0.42634</v>
      </c>
      <c r="K10" s="101" t="n">
        <v>0.25795</v>
      </c>
      <c r="L10" s="102" t="n">
        <v>0.29466</v>
      </c>
      <c r="M10" s="102" t="n">
        <v>0.30466</v>
      </c>
      <c r="N10" s="102" t="n">
        <v>0.30966</v>
      </c>
      <c r="O10" s="109" t="inlineStr">
        <is>
          <t>N/A</t>
        </is>
      </c>
      <c r="P10" s="109" t="inlineStr">
        <is>
          <t>N/A</t>
        </is>
      </c>
      <c r="Q10" s="135" t="n">
        <v>0.25815</v>
      </c>
      <c r="R10" s="135" t="n">
        <v>0.26634</v>
      </c>
      <c r="S10" s="135" t="n">
        <v>0.30733</v>
      </c>
    </row>
    <row r="11" ht="18" customHeight="1" s="74">
      <c r="A11" s="110" t="inlineStr">
        <is>
          <t>Winter</t>
        </is>
      </c>
      <c r="B11" s="111" t="inlineStr">
        <is>
          <t>Off-Peak</t>
        </is>
      </c>
      <c r="C11" s="112" t="inlineStr">
        <is>
          <t>9:00 PM – 8:00 AM, every day</t>
        </is>
      </c>
      <c r="D11" s="96" t="n">
        <v>0.18785</v>
      </c>
      <c r="E11" s="97" t="n">
        <v>0.05958</v>
      </c>
      <c r="F11" s="98">
        <f>D11+E11</f>
        <v/>
      </c>
      <c r="G11" s="99" t="n">
        <v>0.06336</v>
      </c>
      <c r="H11" s="99" t="n">
        <v>0.07136000000000001</v>
      </c>
      <c r="I11" s="100" t="n">
        <v>0.03651</v>
      </c>
      <c r="J11" s="100" t="n">
        <v>0.07804</v>
      </c>
      <c r="K11" s="101" t="n">
        <v>0.06898</v>
      </c>
      <c r="L11" s="102" t="n">
        <v>0.0779</v>
      </c>
      <c r="M11" s="102" t="n">
        <v>0.08790000000000001</v>
      </c>
      <c r="N11" s="102" t="n">
        <v>0.0929</v>
      </c>
      <c r="O11" s="109" t="inlineStr">
        <is>
          <t>N/A</t>
        </is>
      </c>
      <c r="P11" s="109" t="inlineStr">
        <is>
          <t>N/A</t>
        </is>
      </c>
      <c r="Q11" s="135" t="n">
        <v>0.06918000000000001</v>
      </c>
      <c r="R11" s="135" t="n">
        <v>0.07106999999999999</v>
      </c>
      <c r="S11" s="135" t="n">
        <v>0.08048</v>
      </c>
    </row>
    <row r="12" ht="18" customHeight="1" s="74">
      <c r="A12" s="106" t="inlineStr">
        <is>
          <t>Winter</t>
        </is>
      </c>
      <c r="B12" s="107" t="inlineStr">
        <is>
          <t>Super-Off-Peak</t>
        </is>
      </c>
      <c r="C12" s="108" t="inlineStr">
        <is>
          <t>8:00 AM – 4:00 PM, every day</t>
        </is>
      </c>
      <c r="D12" s="96" t="n">
        <v>0.18785</v>
      </c>
      <c r="E12" s="97" t="n">
        <v>0.05958</v>
      </c>
      <c r="F12" s="98">
        <f>D12+E12</f>
        <v/>
      </c>
      <c r="G12" s="99" t="n">
        <v>0.06336</v>
      </c>
      <c r="H12" s="99" t="n">
        <v>0.07136000000000001</v>
      </c>
      <c r="I12" s="100" t="n">
        <v>0.03651</v>
      </c>
      <c r="J12" s="100" t="n">
        <v>0.07804</v>
      </c>
      <c r="K12" s="101" t="n">
        <v>0.06898</v>
      </c>
      <c r="L12" s="102" t="n">
        <v>0.0779</v>
      </c>
      <c r="M12" s="102" t="n">
        <v>0.08790000000000001</v>
      </c>
      <c r="N12" s="102" t="n">
        <v>0.0929</v>
      </c>
      <c r="O12" s="109" t="inlineStr">
        <is>
          <t>N/A</t>
        </is>
      </c>
      <c r="P12" s="109" t="inlineStr">
        <is>
          <t>N/A</t>
        </is>
      </c>
      <c r="Q12" s="135" t="n">
        <v>0.06918000000000001</v>
      </c>
      <c r="R12" s="135" t="n">
        <v>0.07106999999999999</v>
      </c>
      <c r="S12" s="135" t="n">
        <v>0.08048</v>
      </c>
    </row>
    <row r="14" ht="24" customHeight="1" s="74">
      <c r="A14" s="104" t="inlineStr">
        <is>
          <t>Additional per-kWh charges (apply to ALL customers — see Fixed_Charges sheet):  Fixed Recovery Charge (FRC): +$0.00619/kWh  |  MCAM Charge: +$0.00223/kWh  |  BSC: $0.794/meter/day</t>
        </is>
      </c>
    </row>
    <row r="15" ht="19.5" customHeight="1" s="74">
      <c r="A15" s="104" t="inlineStr">
        <is>
          <t>CCA customers: Total rate = SCE Delivery + CCA Generation + FRC + MCAM. Non-bypassable charges (PCIA, WFC, CTC, FRC) shown on Non_Bypassable sheet.</t>
        </is>
      </c>
    </row>
    <row r="17" ht="15" customHeight="1" s="74">
      <c r="A17" s="114" t="inlineStr">
        <is>
          <t>COLOR KEY</t>
        </is>
      </c>
    </row>
    <row r="18" ht="15" customHeight="1" s="74">
      <c r="A18" s="115" t="inlineStr">
        <is>
          <t>Blue text</t>
        </is>
      </c>
      <c r="B18" s="116" t="inlineStr">
        <is>
          <t>Hardcoded value from authoritative tariff/rate source</t>
        </is>
      </c>
    </row>
    <row r="19" ht="15" customHeight="1" s="74">
      <c r="A19" s="115" t="inlineStr">
        <is>
          <t>Black text</t>
        </is>
      </c>
      <c r="B19" s="116" t="inlineStr">
        <is>
          <t>Formula / calculated value</t>
        </is>
      </c>
    </row>
    <row r="20" ht="15" customHeight="1" s="74">
      <c r="A20" s="115" t="inlineStr">
        <is>
          <t>Orange text (italic)</t>
        </is>
      </c>
      <c r="B20" s="116" t="inlineStr">
        <is>
          <t>Blended average — NOT per-period; use with caution</t>
        </is>
      </c>
    </row>
    <row r="21" ht="15" customHeight="1" s="74">
      <c r="A21" s="115" t="inlineStr">
        <is>
          <t>Grey "N/A"</t>
        </is>
      </c>
      <c r="B21" s="116" t="inlineStr">
        <is>
          <t>Rate not available for this plan/period from this CCA</t>
        </is>
      </c>
    </row>
  </sheetData>
  <mergeCells count="18">
    <mergeCell ref="A1:T1"/>
    <mergeCell ref="A5:T5"/>
    <mergeCell ref="O3:P3"/>
    <mergeCell ref="B20:T20"/>
    <mergeCell ref="B19:T19"/>
    <mergeCell ref="A17:T17"/>
    <mergeCell ref="A9:T9"/>
    <mergeCell ref="Q3:S3"/>
    <mergeCell ref="A15:T15"/>
    <mergeCell ref="B18:T18"/>
    <mergeCell ref="T3:T4"/>
    <mergeCell ref="A3:C3"/>
    <mergeCell ref="A2:T2"/>
    <mergeCell ref="B21:T21"/>
    <mergeCell ref="L3:N3"/>
    <mergeCell ref="G3:H3"/>
    <mergeCell ref="A14:T14"/>
    <mergeCell ref="I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73" min="1" max="1"/>
    <col width="14" customWidth="1" style="73" min="2" max="2"/>
    <col width="18" customWidth="1" style="73" min="3" max="3"/>
    <col width="30" customWidth="1" style="73" min="4" max="5"/>
    <col width="10" customWidth="1" style="73" min="6" max="6"/>
  </cols>
  <sheetData>
    <row r="1" ht="25.5" customHeight="1" s="74">
      <c r="A1" s="86" t="inlineStr">
        <is>
          <t>SCE Fixed &amp; Non-Energy Charges</t>
        </is>
      </c>
    </row>
    <row r="2" ht="15" customHeight="1" s="74">
      <c r="A2" s="117" t="inlineStr">
        <is>
          <t>Charge</t>
        </is>
      </c>
      <c r="B2" s="117" t="inlineStr">
        <is>
          <t>Rate</t>
        </is>
      </c>
      <c r="C2" s="117" t="inlineStr">
        <is>
          <t>Unit</t>
        </is>
      </c>
      <c r="D2" s="117" t="inlineStr">
        <is>
          <t>Applies To</t>
        </is>
      </c>
      <c r="E2" s="117" t="inlineStr">
        <is>
          <t>Notes</t>
        </is>
      </c>
    </row>
    <row r="3" ht="18" customHeight="1" s="74">
      <c r="A3" s="118" t="inlineStr">
        <is>
          <t>Per-kWh Energy Adders (ALL Customers, All Plans)</t>
        </is>
      </c>
    </row>
    <row r="4" ht="15.75" customHeight="1" s="74">
      <c r="A4" s="119" t="inlineStr">
        <is>
          <t>Fixed Recovery Charge (FRC)</t>
        </is>
      </c>
      <c r="B4" s="120" t="n">
        <v>0.00619</v>
      </c>
      <c r="C4" s="119" t="inlineStr">
        <is>
          <t>$/kWh</t>
        </is>
      </c>
      <c r="D4" s="121" t="inlineStr">
        <is>
          <t>All plans</t>
        </is>
      </c>
      <c r="E4" s="122" t="inlineStr">
        <is>
          <t>Flat adder; add to total rate for all usage</t>
        </is>
      </c>
    </row>
    <row r="5" ht="15.75" customHeight="1" s="74">
      <c r="A5" s="119" t="inlineStr">
        <is>
          <t>MCAM Charge (Modified Cost Allocation Mechanism)</t>
        </is>
      </c>
      <c r="B5" s="120" t="n">
        <v>0.00223</v>
      </c>
      <c r="C5" s="119" t="inlineStr">
        <is>
          <t>$/kWh</t>
        </is>
      </c>
      <c r="D5" s="121" t="inlineStr">
        <is>
          <t>All plans</t>
        </is>
      </c>
      <c r="E5" s="122" t="inlineStr">
        <is>
          <t>Flat adder; add to total rate for all usage</t>
        </is>
      </c>
    </row>
    <row r="6" ht="15.75" customHeight="1" s="74">
      <c r="A6" s="119" t="inlineStr">
        <is>
          <t>Total flat adder per kWh (FRC + MCAM)</t>
        </is>
      </c>
      <c r="B6" s="120" t="n">
        <v>0.00842</v>
      </c>
      <c r="C6" s="119" t="inlineStr">
        <is>
          <t>$/kWh</t>
        </is>
      </c>
      <c r="D6" s="121" t="inlineStr">
        <is>
          <t>All plans</t>
        </is>
      </c>
      <c r="E6" s="122" t="inlineStr">
        <is>
          <t>Formula: FRC + MCAM = 0.00619 + 0.00223</t>
        </is>
      </c>
    </row>
    <row r="8" ht="18" customHeight="1" s="74">
      <c r="A8" s="118" t="inlineStr">
        <is>
          <t>Daily / Monthly Fixed Charges</t>
        </is>
      </c>
    </row>
    <row r="9" ht="15.75" customHeight="1" s="74">
      <c r="A9" s="119" t="inlineStr">
        <is>
          <t>Base Services Charge (BSC)</t>
        </is>
      </c>
      <c r="B9" s="120" t="n">
        <v>0.794</v>
      </c>
      <c r="C9" s="119" t="inlineStr">
        <is>
          <t>$/meter/day</t>
        </is>
      </c>
      <c r="D9" s="121" t="inlineStr">
        <is>
          <t>All plans</t>
        </is>
      </c>
      <c r="E9" s="122" t="n"/>
    </row>
    <row r="10" ht="15.75" customHeight="1" s="74">
      <c r="A10" s="119" t="inlineStr">
        <is>
          <t>BSC Adjustment – Deed Restricted</t>
        </is>
      </c>
      <c r="B10" s="120" t="n">
        <v>-0.332</v>
      </c>
      <c r="C10" s="119" t="inlineStr">
        <is>
          <t>$/meter/day</t>
        </is>
      </c>
      <c r="D10" s="121" t="inlineStr">
        <is>
          <t>All plans</t>
        </is>
      </c>
      <c r="E10" s="122" t="inlineStr">
        <is>
          <t>Reduction for deed-restricted affordable housing</t>
        </is>
      </c>
    </row>
    <row r="11" ht="15.75" customHeight="1" s="74"/>
    <row r="12">
      <c r="A12" s="118" t="inlineStr">
        <is>
          <t>TOU-D Baseline Credit (TOU-D-4 and TOU-D-5 ONLY — Not TOU-D-PRIME)</t>
        </is>
      </c>
    </row>
    <row r="13" ht="18" customHeight="1" s="74">
      <c r="A13" s="119" t="inlineStr">
        <is>
          <t>Baseline Credit</t>
        </is>
      </c>
      <c r="B13" s="73" t="n">
        <v>-0.10108</v>
      </c>
      <c r="C13" s="73" t="inlineStr">
        <is>
          <t>$/kWh</t>
        </is>
      </c>
      <c r="D13" s="73" t="inlineStr">
        <is>
          <t>TOU-D-4, TOU-D-5 only</t>
        </is>
      </c>
      <c r="E13" s="73" t="inlineStr">
        <is>
          <t>Applied to usage up to 100% of monthly baseline allocation. Reduces net delivery rate for baseline kWh.</t>
        </is>
      </c>
    </row>
    <row r="14" ht="15.75" customHeight="1" s="74"/>
    <row r="15">
      <c r="A15" s="118" t="inlineStr">
        <is>
          <t>TOU-D-PRIME EV Credits (separately metered EV only)</t>
        </is>
      </c>
    </row>
    <row r="16" ht="18" customHeight="1" s="74">
      <c r="A16" s="119" t="inlineStr">
        <is>
          <t>EV Meter Credit (separately metered EV option)</t>
        </is>
      </c>
      <c r="B16" s="73" t="n">
        <v>-0.451</v>
      </c>
      <c r="C16" s="73" t="inlineStr">
        <is>
          <t>$/meter/day</t>
        </is>
      </c>
      <c r="D16" s="73" t="inlineStr">
        <is>
          <t>TOU-D-PRIME only</t>
        </is>
      </c>
      <c r="E16" s="73" t="inlineStr">
        <is>
          <t>Credit for separately metered EV load under TOU-D-PRIME. Source: ELECTRIC_SCHEDULES_TOU-D.pdf p7.</t>
        </is>
      </c>
    </row>
    <row r="17" ht="15.75" customHeight="1" s="74">
      <c r="A17" s="119" t="inlineStr">
        <is>
          <t>EV Submeter Credit</t>
        </is>
      </c>
      <c r="B17" s="120" t="n">
        <v>-0.152</v>
      </c>
      <c r="C17" s="119" t="inlineStr">
        <is>
          <t>$/meter/day</t>
        </is>
      </c>
      <c r="D17" s="121" t="inlineStr">
        <is>
          <t>TOU-D-PRIME only</t>
        </is>
      </c>
      <c r="E17" s="122" t="inlineStr">
        <is>
          <t>Sub-metered EV load option</t>
        </is>
      </c>
    </row>
    <row r="18" ht="15.75" customHeight="1" s="74"/>
    <row r="19">
      <c r="A19" s="118" t="inlineStr">
        <is>
          <t>Non-Bypassable Charges for CCA Customers (3CE territory) — Collected by SCE</t>
        </is>
      </c>
    </row>
    <row r="20" ht="18" customHeight="1" s="74">
      <c r="A20" s="119" t="inlineStr">
        <is>
          <t>Wildfire Fund Charge (WFC)</t>
        </is>
      </c>
      <c r="B20" s="73" t="n">
        <v>0.00595</v>
      </c>
      <c r="C20" s="73" t="inlineStr">
        <is>
          <t>$/kWh</t>
        </is>
      </c>
      <c r="D20" s="73" t="inlineStr">
        <is>
          <t>CCA customers (Domestic rate group)</t>
        </is>
      </c>
      <c r="E20" s="73" t="inlineStr">
        <is>
          <t>Source: 3CE SCE Territory Rate Sheet, Apr 1 2025</t>
        </is>
      </c>
    </row>
    <row r="21" ht="15.75" customHeight="1" s="74">
      <c r="A21" s="119" t="inlineStr">
        <is>
          <t>Competition Transition Charge (CTC)</t>
        </is>
      </c>
      <c r="B21" s="120" t="n">
        <v>-0.00058</v>
      </c>
      <c r="C21" s="119" t="inlineStr">
        <is>
          <t>$/kWh</t>
        </is>
      </c>
      <c r="D21" s="121" t="inlineStr">
        <is>
          <t>CCA customers (Domestic rate group)</t>
        </is>
      </c>
      <c r="E21" s="122" t="inlineStr">
        <is>
          <t>Negative = credit; recovered by SCE</t>
        </is>
      </c>
    </row>
    <row r="22" ht="15.75" customHeight="1" s="74">
      <c r="A22" s="119" t="inlineStr">
        <is>
          <t>Fixed Recovery Charge (FRC) — CCA version</t>
        </is>
      </c>
      <c r="B22" s="120" t="n">
        <v>0.00198</v>
      </c>
      <c r="C22" s="119" t="inlineStr">
        <is>
          <t>$/kWh</t>
        </is>
      </c>
      <c r="D22" s="121" t="inlineStr">
        <is>
          <t>CCA customers (Domestic rate group)</t>
        </is>
      </c>
      <c r="E22" s="122" t="inlineStr">
        <is>
          <t>Differs from bundled FRC; see 3CE rate sheet</t>
        </is>
      </c>
    </row>
    <row r="23" ht="15.75" customHeight="1" s="74">
      <c r="A23" s="119" t="inlineStr">
        <is>
          <t>Generation Municipal Surcharge (GMS)</t>
        </is>
      </c>
      <c r="B23" s="137" t="n">
        <v>0.009261</v>
      </c>
      <c r="C23" s="119" t="inlineStr">
        <is>
          <t>factor (× SCE generation rate)</t>
        </is>
      </c>
      <c r="D23" s="121" t="inlineStr">
        <is>
          <t>CCA customers</t>
        </is>
      </c>
      <c r="E23" s="122" t="inlineStr">
        <is>
          <t>GMS = 0.009261 × SCE generation rate component. Source: 3CE SCE Territory Rate Sheet, Apr 1 2025, p4. Surcharge name ("Generation") identifies the rate component it applies to.</t>
        </is>
      </c>
    </row>
    <row r="24" ht="15.75" customHeight="1" s="74"/>
    <row r="25">
      <c r="A25" s="118" t="inlineStr">
        <is>
          <t>PCIA (Power Charge Indifference Adjustment) — by enrollment vintage — All CCA customers in SCE territory (not 3CE-specific)</t>
        </is>
      </c>
    </row>
    <row r="26" ht="18" customHeight="1" s="74">
      <c r="A26" s="123" t="inlineStr">
        <is>
          <t>2018 vintage</t>
        </is>
      </c>
      <c r="B26" s="73" t="n">
        <v>-0.01227</v>
      </c>
      <c r="C26" s="73" t="inlineStr">
        <is>
          <t>$/kWh</t>
        </is>
      </c>
      <c r="D26" s="73" t="inlineStr">
        <is>
          <t>CCA customers (Domestic row — all SCE residential plans)</t>
        </is>
      </c>
      <c r="E26" s="73" t="inlineStr">
        <is>
          <t>Source: 3CE SCE Territory Rate Sheet, Apr 1 2025 (neg = credit)</t>
        </is>
      </c>
    </row>
    <row r="27" ht="15.75" customHeight="1" s="74">
      <c r="A27" s="123" t="inlineStr">
        <is>
          <t>2019 vintage</t>
        </is>
      </c>
      <c r="B27" s="136" t="n">
        <v>-0.01562</v>
      </c>
      <c r="C27" s="127" t="inlineStr">
        <is>
          <t>$/kWh</t>
        </is>
      </c>
      <c r="D27" s="73" t="inlineStr">
        <is>
          <t>CCA customers (Domestic row — all SCE residential plans)</t>
        </is>
      </c>
      <c r="E27" s="73" t="inlineStr">
        <is>
          <t>Source: 3CE SCE Territory Rate Sheet, Apr 1 2025 (neg = credit)</t>
        </is>
      </c>
    </row>
    <row r="28" ht="15.75" customHeight="1" s="74">
      <c r="A28" s="123" t="inlineStr">
        <is>
          <t>2020 vintage</t>
        </is>
      </c>
      <c r="B28" s="136" t="n">
        <v>-0.01343</v>
      </c>
      <c r="C28" s="127" t="inlineStr">
        <is>
          <t>$/kWh</t>
        </is>
      </c>
      <c r="D28" s="73" t="inlineStr">
        <is>
          <t>CCA customers (Domestic row — all SCE residential plans)</t>
        </is>
      </c>
      <c r="E28" s="73" t="inlineStr">
        <is>
          <t>Source: 3CE SCE Territory Rate Sheet, Apr 1 2025 (neg = credit)</t>
        </is>
      </c>
    </row>
    <row r="29" ht="15.75" customHeight="1" s="74">
      <c r="A29" s="123" t="inlineStr">
        <is>
          <t>2021 vintage</t>
        </is>
      </c>
      <c r="B29" s="136" t="n">
        <v>-0.01267</v>
      </c>
      <c r="C29" s="127" t="inlineStr">
        <is>
          <t>$/kWh</t>
        </is>
      </c>
      <c r="D29" s="73" t="inlineStr">
        <is>
          <t>CCA customers (Domestic row — all SCE residential plans)</t>
        </is>
      </c>
      <c r="E29" s="73" t="inlineStr">
        <is>
          <t>Source: 3CE SCE Territory Rate Sheet, Apr 1 2025 (neg = credit)</t>
        </is>
      </c>
    </row>
    <row r="30" ht="15.75" customHeight="1" s="74">
      <c r="A30" s="123" t="inlineStr">
        <is>
          <t>2022 vintage</t>
        </is>
      </c>
      <c r="B30" s="136" t="n">
        <v>-0.03047</v>
      </c>
      <c r="C30" s="127" t="inlineStr">
        <is>
          <t>$/kWh</t>
        </is>
      </c>
      <c r="D30" s="73" t="inlineStr">
        <is>
          <t>CCA customers (Domestic row — all SCE residential plans)</t>
        </is>
      </c>
      <c r="E30" s="73" t="inlineStr">
        <is>
          <t>Source: 3CE SCE Territory Rate Sheet, Apr 1 2025 (neg = credit)</t>
        </is>
      </c>
    </row>
    <row r="31">
      <c r="A31" s="123" t="inlineStr">
        <is>
          <t>2023 vintage</t>
        </is>
      </c>
      <c r="B31" s="136" t="n">
        <v>-0.03047</v>
      </c>
      <c r="C31" s="127" t="inlineStr">
        <is>
          <t>$/kWh</t>
        </is>
      </c>
      <c r="D31" s="73" t="inlineStr">
        <is>
          <t>CCA customers (Domestic row — all SCE residential plans)</t>
        </is>
      </c>
      <c r="E31" s="73" t="inlineStr">
        <is>
          <t>Source: 3CE SCE Territory Rate Sheet, Apr 1 2025 (neg = credit)</t>
        </is>
      </c>
    </row>
    <row r="32">
      <c r="A32" s="123" t="inlineStr">
        <is>
          <t>2024 vintage</t>
        </is>
      </c>
      <c r="B32" s="136" t="n">
        <v>-0.02789</v>
      </c>
      <c r="C32" s="127" t="inlineStr">
        <is>
          <t>$/kWh</t>
        </is>
      </c>
      <c r="D32" s="73" t="inlineStr">
        <is>
          <t>CCA customers (Domestic row — all SCE residential plans)</t>
        </is>
      </c>
      <c r="E32" s="73" t="inlineStr">
        <is>
          <t>Source: 3CE SCE Territory Rate Sheet, Apr 1 2025 (neg = credit)</t>
        </is>
      </c>
    </row>
    <row r="33">
      <c r="A33" s="123" t="inlineStr">
        <is>
          <t>2025 vintage</t>
        </is>
      </c>
      <c r="B33" s="136" t="n">
        <v>-0.02789</v>
      </c>
      <c r="C33" s="127" t="inlineStr">
        <is>
          <t>$/kWh</t>
        </is>
      </c>
      <c r="D33" s="73" t="inlineStr">
        <is>
          <t>CCA customers (Domestic row — all SCE residential plans)</t>
        </is>
      </c>
      <c r="E33" s="73" t="inlineStr">
        <is>
          <t>Source: 3CE SCE Territory Rate Sheet, Apr 1 2025 (neg = credit)</t>
        </is>
      </c>
    </row>
  </sheetData>
  <mergeCells count="28">
    <mergeCell ref="E33:F33"/>
    <mergeCell ref="E5:F5"/>
    <mergeCell ref="E23:F23"/>
    <mergeCell ref="A12:F12"/>
    <mergeCell ref="A3:F3"/>
    <mergeCell ref="E17:F17"/>
    <mergeCell ref="E4:F4"/>
    <mergeCell ref="E20:F20"/>
    <mergeCell ref="E29:F29"/>
    <mergeCell ref="E10:F10"/>
    <mergeCell ref="A8:F8"/>
    <mergeCell ref="E28:F28"/>
    <mergeCell ref="E13:F13"/>
    <mergeCell ref="A25:F25"/>
    <mergeCell ref="E9:F9"/>
    <mergeCell ref="E31:F31"/>
    <mergeCell ref="E6:F6"/>
    <mergeCell ref="E30:F30"/>
    <mergeCell ref="A19:F19"/>
    <mergeCell ref="E2:F2"/>
    <mergeCell ref="E27:F27"/>
    <mergeCell ref="E26:F26"/>
    <mergeCell ref="A15:F15"/>
    <mergeCell ref="E16:F16"/>
    <mergeCell ref="E32:F32"/>
    <mergeCell ref="A1:F1"/>
    <mergeCell ref="E22:F22"/>
    <mergeCell ref="E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73" min="1" max="1"/>
    <col width="30" customWidth="1" style="73" min="2" max="2"/>
    <col width="16" customWidth="1" style="73" min="3" max="3"/>
    <col width="22" customWidth="1" style="73" min="4" max="4"/>
    <col width="20" customWidth="1" style="73" min="5" max="5"/>
    <col width="38" customWidth="1" style="73" min="6" max="6"/>
    <col width="16" customWidth="1" style="73" min="7" max="7"/>
    <col width="52" customWidth="1" style="73" min="8" max="9"/>
    <col width="20" customWidth="1" style="73" min="10" max="10"/>
  </cols>
  <sheetData>
    <row r="1" ht="25.5" customHeight="1" s="74">
      <c r="A1" s="86" t="inlineStr">
        <is>
          <t>CCA Generation Providers — SCE Territory</t>
        </is>
      </c>
    </row>
    <row r="2" ht="15" customHeight="1" s="74">
      <c r="A2" s="87" t="inlineStr">
        <is>
          <t>Generation rates only — SCE Delivery charges apply on top. Per-period rates shown in plan-specific sheets.</t>
        </is>
      </c>
    </row>
    <row r="3" ht="30" customHeight="1" s="74">
      <c r="A3" s="78" t="inlineStr">
        <is>
          <t>CCA Name</t>
        </is>
      </c>
      <c r="B3" s="78" t="inlineStr">
        <is>
          <t>Plans Covered</t>
        </is>
      </c>
      <c r="C3" s="78" t="inlineStr">
        <is>
          <t>Default Tier</t>
        </is>
      </c>
      <c r="D3" s="78" t="inlineStr">
        <is>
          <t>Premium Tier(s)</t>
        </is>
      </c>
      <c r="E3" s="78" t="inlineStr">
        <is>
          <t>Effective Date</t>
        </is>
      </c>
      <c r="F3" s="78" t="inlineStr">
        <is>
          <t>Service Area</t>
        </is>
      </c>
      <c r="G3" s="78" t="inlineStr">
        <is>
          <t>PCIA Vintage</t>
        </is>
      </c>
      <c r="H3" s="78" t="inlineStr">
        <is>
          <t>Source File</t>
        </is>
      </c>
      <c r="I3" s="78" t="inlineStr">
        <is>
          <t>Notes</t>
        </is>
      </c>
      <c r="J3" s="78" t="inlineStr">
        <is>
          <t>Status</t>
        </is>
      </c>
    </row>
    <row r="4" ht="36" customHeight="1" s="74">
      <c r="A4" s="128" t="inlineStr">
        <is>
          <t>3CE</t>
        </is>
      </c>
      <c r="B4" s="128" t="inlineStr">
        <is>
          <t>D, TOU-D-4, TOU-D-5, TOU-D-PRIME</t>
        </is>
      </c>
      <c r="C4" s="128" t="inlineStr">
        <is>
          <t>3Cchoice</t>
        </is>
      </c>
      <c r="D4" s="128" t="inlineStr">
        <is>
          <t>3Cprime (+$0.008)</t>
        </is>
      </c>
      <c r="E4" s="128" t="inlineStr">
        <is>
          <t>Apr 1, 2025</t>
        </is>
      </c>
      <c r="F4" s="128" t="inlineStr">
        <is>
          <t>Santa Barbara area (Carpinteria, Goleta, Montecito, Summerland)</t>
        </is>
      </c>
      <c r="G4" s="128" t="inlineStr">
        <is>
          <t>See 3CE rate sheet</t>
        </is>
      </c>
      <c r="H4" s="128" t="inlineStr">
        <is>
          <t>Residential-SCE-Website-Rate-Sheet-v2-2025.04.01.pdf</t>
        </is>
      </c>
      <c r="I4" s="128" t="inlineStr">
        <is>
          <t>Per-period TOU rates available. Non-bypassable charges listed separately.</t>
        </is>
      </c>
      <c r="J4" s="129" t="inlineStr">
        <is>
          <t>✓ Rates extracted</t>
        </is>
      </c>
    </row>
    <row r="5" ht="36" customHeight="1" s="74">
      <c r="A5" s="130" t="inlineStr">
        <is>
          <t>DCE</t>
        </is>
      </c>
      <c r="B5" s="130" t="inlineStr">
        <is>
          <t>D, TOU-D-4, TOU-D-5, TOU-D-PRIME</t>
        </is>
      </c>
      <c r="C5" s="130" t="inlineStr">
        <is>
          <t>Desert Saver</t>
        </is>
      </c>
      <c r="D5" s="130" t="inlineStr">
        <is>
          <t>Carbon Free (higher)</t>
        </is>
      </c>
      <c r="E5" s="130" t="inlineStr">
        <is>
          <t>Jan 1, 2026</t>
        </is>
      </c>
      <c r="F5" s="130" t="inlineStr">
        <is>
          <t>Desert communities (29 Palms, Coachella Valley area)</t>
        </is>
      </c>
      <c r="G5" s="130" t="inlineStr">
        <is>
          <t>See DCE xlsx</t>
        </is>
      </c>
      <c r="H5" s="130" t="inlineStr">
        <is>
          <t>DCE-Rate-Schedule-for-Website-010126-RES.xlsx</t>
        </is>
      </c>
      <c r="I5" s="130" t="inlineStr">
        <is>
          <t>Per-period TOU rates available.</t>
        </is>
      </c>
      <c r="J5" s="131" t="inlineStr">
        <is>
          <t>✓ Rates extracted</t>
        </is>
      </c>
    </row>
    <row r="6" ht="36" customHeight="1" s="74">
      <c r="A6" s="128" t="inlineStr">
        <is>
          <t>AVCE</t>
        </is>
      </c>
      <c r="B6" s="128" t="inlineStr">
        <is>
          <t>D, TOU-D-4, TOU-D-5, TOU-D-PRIME</t>
        </is>
      </c>
      <c r="C6" s="128" t="inlineStr">
        <is>
          <t>Standard (GF)</t>
        </is>
      </c>
      <c r="D6" s="128" t="inlineStr">
        <is>
          <t>MORE Choice 50% (+premium)</t>
        </is>
      </c>
      <c r="E6" s="128" t="inlineStr">
        <is>
          <t>Apr 1, 2025</t>
        </is>
      </c>
      <c r="F6" s="128" t="inlineStr">
        <is>
          <t>Apple Valley (High Desert area)</t>
        </is>
      </c>
      <c r="G6" s="128" t="inlineStr">
        <is>
          <t>See AVCE PDF</t>
        </is>
      </c>
      <c r="H6" s="128" t="inlineStr">
        <is>
          <t>AVCE-Rates-Effective-April-1-2025_WEB-POSTING.pdf</t>
        </is>
      </c>
      <c r="I6" s="128" t="inlineStr">
        <is>
          <t>Single standard tier. "GF" = Green Future option.</t>
        </is>
      </c>
      <c r="J6" s="129" t="inlineStr">
        <is>
          <t>✓ Rates extracted</t>
        </is>
      </c>
    </row>
    <row r="7" ht="36" customHeight="1" s="74">
      <c r="A7" s="130" t="inlineStr">
        <is>
          <t>OCPA</t>
        </is>
      </c>
      <c r="B7" s="130" t="inlineStr">
        <is>
          <t>D, TOU-D-4, TOU-D-5, TOU-D-PRIME, TOU-D-A, TOU-D-B</t>
        </is>
      </c>
      <c r="C7" s="130" t="inlineStr">
        <is>
          <t>Basic Choice</t>
        </is>
      </c>
      <c r="D7" s="130" t="inlineStr">
        <is>
          <t>Smart Choice (+$0.01), 100% Renewable (+$0.015)</t>
        </is>
      </c>
      <c r="E7" s="130" t="inlineStr">
        <is>
          <t>Oct 20, 2025</t>
        </is>
      </c>
      <c r="F7" s="130" t="inlineStr">
        <is>
          <t>Orange County (multiple cities)</t>
        </is>
      </c>
      <c r="G7" s="130" t="inlineStr">
        <is>
          <t>See OCPA PDF</t>
        </is>
      </c>
      <c r="H7" s="130" t="inlineStr">
        <is>
          <t>OCPA-Rates-Schedule-Website-rates_2025Oct-Update_Residential.pdf</t>
        </is>
      </c>
      <c r="I7" s="130" t="inlineStr">
        <is>
          <t>Three tier options. Per-period TOU rates available.</t>
        </is>
      </c>
      <c r="J7" s="131" t="inlineStr">
        <is>
          <t>✓ Rates extracted</t>
        </is>
      </c>
    </row>
    <row r="8" ht="36" customHeight="1" s="74">
      <c r="A8" s="128" t="inlineStr">
        <is>
          <t>PRIME (Pico Rivera Innovative Municipal Energy)</t>
        </is>
      </c>
      <c r="B8" s="128" t="inlineStr">
        <is>
          <t>D, TOU-D-4, TOU-D-5, TOU-D-PRIME</t>
        </is>
      </c>
      <c r="C8" s="128" t="inlineStr">
        <is>
          <t>PRIME Power</t>
        </is>
      </c>
      <c r="D8" s="128" t="inlineStr">
        <is>
          <t>PRIME Future (+$0.01)</t>
        </is>
      </c>
      <c r="E8" s="128" t="inlineStr">
        <is>
          <t>Per SCE PRIME joint rate HTML</t>
        </is>
      </c>
      <c r="F8" s="128" t="inlineStr">
        <is>
          <t>Pico Rivera, CA only</t>
        </is>
      </c>
      <c r="G8" s="128" t="inlineStr">
        <is>
          <t>See SCE/PRIME HTML</t>
        </is>
      </c>
      <c r="H8" s="128" t="inlineStr">
        <is>
          <t>SCE PRIME Joint Rate Comparisons | Rate Plans &amp; Pricing | SCE.html</t>
        </is>
      </c>
      <c r="I8" s="132" t="inlineStr">
        <is>
          <t>⚠ Only BLENDED AVERAGES available from HTML source. Per-period TOU rates NOT extracted.</t>
        </is>
      </c>
      <c r="J8" s="132" t="inlineStr">
        <is>
          <t>⚠ Blended avg only</t>
        </is>
      </c>
    </row>
    <row r="9" ht="36" customHeight="1" s="74">
      <c r="A9" s="130" t="inlineStr">
        <is>
          <t>RMEA</t>
        </is>
      </c>
      <c r="B9" s="130" t="inlineStr">
        <is>
          <t>D, TOU-D-4, TOU-D-5, TOU-D-PRIME</t>
        </is>
      </c>
      <c r="C9" s="130" t="inlineStr">
        <is>
          <t>TBD</t>
        </is>
      </c>
      <c r="D9" s="130" t="inlineStr">
        <is>
          <t>TBD</t>
        </is>
      </c>
      <c r="E9" s="130" t="inlineStr">
        <is>
          <t>TBD</t>
        </is>
      </c>
      <c r="F9" s="130" t="inlineStr">
        <is>
          <t>Rancho Mission Viejo area</t>
        </is>
      </c>
      <c r="G9" s="130" t="inlineStr">
        <is>
          <t>TBD</t>
        </is>
      </c>
      <c r="H9" s="130" t="inlineStr">
        <is>
          <t>SCE RMEA Joint Rate Comparisons | Rate Plans &amp; Pricing | SCE.html</t>
        </is>
      </c>
      <c r="I9" s="133" t="inlineStr">
        <is>
          <t>⚠ Rates not yet extracted from HTML source.</t>
        </is>
      </c>
      <c r="J9" s="133" t="inlineStr">
        <is>
          <t>⚠ Not extracted</t>
        </is>
      </c>
    </row>
    <row r="10" ht="36" customHeight="1" s="74">
      <c r="A10" s="128" t="inlineStr">
        <is>
          <t>SJP</t>
        </is>
      </c>
      <c r="B10" s="128" t="inlineStr">
        <is>
          <t>TBD</t>
        </is>
      </c>
      <c r="C10" s="128" t="inlineStr">
        <is>
          <t>TBD</t>
        </is>
      </c>
      <c r="D10" s="128" t="inlineStr">
        <is>
          <t>TBD</t>
        </is>
      </c>
      <c r="E10" s="128" t="inlineStr">
        <is>
          <t>TBD</t>
        </is>
      </c>
      <c r="F10" s="128" t="inlineStr">
        <is>
          <t>TBD</t>
        </is>
      </c>
      <c r="G10" s="128" t="inlineStr">
        <is>
          <t>TBD</t>
        </is>
      </c>
      <c r="H10" s="128" t="inlineStr">
        <is>
          <t>SCE SJP Joint Rate Comparisons | Rate Plans &amp; Pricing | SCE.html</t>
        </is>
      </c>
      <c r="I10" s="132" t="inlineStr">
        <is>
          <t>⚠ Rates not yet extracted from HTML source.</t>
        </is>
      </c>
      <c r="J10" s="132" t="inlineStr">
        <is>
          <t>⚠ Not extracted</t>
        </is>
      </c>
    </row>
    <row r="11" ht="36" customHeight="1" s="74">
      <c r="A11" s="130" t="inlineStr">
        <is>
          <t>SBCE (100% Green)</t>
        </is>
      </c>
      <c r="B11" s="130" t="inlineStr">
        <is>
          <t>TBD</t>
        </is>
      </c>
      <c r="C11" s="130" t="inlineStr">
        <is>
          <t>100% Green</t>
        </is>
      </c>
      <c r="D11" s="130" t="inlineStr">
        <is>
          <t>N/A</t>
        </is>
      </c>
      <c r="E11" s="130" t="inlineStr">
        <is>
          <t>TBD</t>
        </is>
      </c>
      <c r="F11" s="130" t="inlineStr">
        <is>
          <t>Santa Barbara County (overlaps 3CE area)</t>
        </is>
      </c>
      <c r="G11" s="130" t="inlineStr">
        <is>
          <t>TBD</t>
        </is>
      </c>
      <c r="H11" s="130" t="inlineStr">
        <is>
          <t>SBCE 100 GREEN RATES.pdf</t>
        </is>
      </c>
      <c r="I11" s="133" t="inlineStr">
        <is>
          <t>⚠ Rates not yet extracted from source PDF.</t>
        </is>
      </c>
      <c r="J11" s="133" t="inlineStr">
        <is>
          <t>⚠ Not extracted</t>
        </is>
      </c>
    </row>
    <row r="12" ht="36" customHeight="1" s="74">
      <c r="A12" s="128" t="inlineStr">
        <is>
          <t>LE (Lancaster Choice)</t>
        </is>
      </c>
      <c r="B12" s="128" t="inlineStr">
        <is>
          <t>TBD</t>
        </is>
      </c>
      <c r="C12" s="128" t="inlineStr">
        <is>
          <t>TBD</t>
        </is>
      </c>
      <c r="D12" s="128" t="inlineStr">
        <is>
          <t>TBD</t>
        </is>
      </c>
      <c r="E12" s="128" t="inlineStr">
        <is>
          <t>Aug 21, 2024</t>
        </is>
      </c>
      <c r="F12" s="128" t="inlineStr">
        <is>
          <t>Lancaster area</t>
        </is>
      </c>
      <c r="G12" s="128" t="inlineStr">
        <is>
          <t>TBD</t>
        </is>
      </c>
      <c r="H12" s="128" t="inlineStr">
        <is>
          <t>LE-Rates-08.21.24_Residential-for-WEB-v2.pdf</t>
        </is>
      </c>
      <c r="I12" s="132" t="inlineStr">
        <is>
          <t>⚠ Rates not yet extracted.</t>
        </is>
      </c>
      <c r="J12" s="132" t="inlineStr">
        <is>
          <t>⚠ Not extracted</t>
        </is>
      </c>
    </row>
    <row r="13" ht="36" customHeight="1" s="74">
      <c r="A13" s="130" t="inlineStr">
        <is>
          <t>JRC Pomona</t>
        </is>
      </c>
      <c r="B13" s="130" t="inlineStr">
        <is>
          <t>TBD</t>
        </is>
      </c>
      <c r="C13" s="130" t="inlineStr">
        <is>
          <t>TBD</t>
        </is>
      </c>
      <c r="D13" s="130" t="inlineStr">
        <is>
          <t>TBD</t>
        </is>
      </c>
      <c r="E13" s="130" t="inlineStr">
        <is>
          <t>Dec 1, 2025</t>
        </is>
      </c>
      <c r="F13" s="130" t="inlineStr">
        <is>
          <t>Pomona area</t>
        </is>
      </c>
      <c r="G13" s="130" t="inlineStr">
        <is>
          <t>TBD</t>
        </is>
      </c>
      <c r="H13" s="130" t="inlineStr">
        <is>
          <t>JRC_Pomona-December-1-2025-Rates_SCE-Jan-1-2026-Rates_WEBSITE.pdf</t>
        </is>
      </c>
      <c r="I13" s="133" t="inlineStr">
        <is>
          <t>⚠ Rates not yet extracted.</t>
        </is>
      </c>
      <c r="J13" s="133" t="inlineStr">
        <is>
          <t>⚠ Not extracted</t>
        </is>
      </c>
    </row>
    <row r="14" ht="36" customHeight="1" s="74">
      <c r="A14" s="128" t="inlineStr">
        <is>
          <t>Energy for Palmdale</t>
        </is>
      </c>
      <c r="B14" s="128" t="inlineStr">
        <is>
          <t>TBD</t>
        </is>
      </c>
      <c r="C14" s="128" t="inlineStr">
        <is>
          <t>TBD</t>
        </is>
      </c>
      <c r="D14" s="128" t="inlineStr">
        <is>
          <t>TBD</t>
        </is>
      </c>
      <c r="E14" s="128" t="inlineStr">
        <is>
          <t>Feb 1, 2024</t>
        </is>
      </c>
      <c r="F14" s="128" t="inlineStr">
        <is>
          <t>Palmdale area</t>
        </is>
      </c>
      <c r="G14" s="128" t="inlineStr">
        <is>
          <t>TBD</t>
        </is>
      </c>
      <c r="H14" s="128" t="inlineStr">
        <is>
          <t>Energy-for-Palmdales-Independent-Choice-Residential-Rates_Effective-February-1-2024.pdf</t>
        </is>
      </c>
      <c r="I14" s="132" t="inlineStr">
        <is>
          <t>⚠ Rates not yet extracted.</t>
        </is>
      </c>
      <c r="J14" s="132" t="inlineStr">
        <is>
          <t>⚠ Not extracted</t>
        </is>
      </c>
    </row>
    <row r="15">
      <c r="A15" s="128" t="inlineStr">
        <is>
          <t>CPA (Clean Power Alliance)</t>
        </is>
      </c>
      <c r="B15" s="128" t="inlineStr">
        <is>
          <t>D, TOU-D-4, TOU-D-5, TOU-D-PRIME</t>
        </is>
      </c>
      <c r="C15" s="128" t="inlineStr">
        <is>
          <t>Lean Power</t>
        </is>
      </c>
      <c r="D15" s="128" t="inlineStr">
        <is>
          <t>Clean Power (+premium); 100% Green Power (+premium)</t>
        </is>
      </c>
      <c r="E15" s="128" t="inlineStr">
        <is>
          <t>Mar 1, 2025</t>
        </is>
      </c>
      <c r="F15" s="128" t="inlineStr">
        <is>
          <t>Los Angeles &amp; Ventura County communities (most CPA jurisdictions; excl. Hermosa Beach, Monrovia, Santa Paula)</t>
        </is>
      </c>
      <c r="G15" s="128" t="inlineStr">
        <is>
          <t>See 3CE rate sheet (SCE-territory PCIA applies)</t>
        </is>
      </c>
      <c r="H15" s="128" t="inlineStr">
        <is>
          <t>Residential-Rates-as-of-March-2025-for-communities-enrolled-in-2019-2020.pdf</t>
        </is>
      </c>
      <c r="I15" s="128" t="inlineStr">
        <is>
          <t>Per-period TOU rates available for all plans. Three tiers: Lean / Clean / 100% Green Power.</t>
        </is>
      </c>
      <c r="J15" s="129" t="inlineStr">
        <is>
          <t>✓ Rates extracted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2026-04-11T03:15:39Z</dcterms:created>
  <dcterms:modified xsi:type="dcterms:W3CDTF">2026-04-11T16:39:10Z</dcterms:modified>
  <cp:revision>0</cp:revision>
</cp:coreProperties>
</file>